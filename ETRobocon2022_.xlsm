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zacjp-my.sharepoint.com/personal/ohs90537_ohs_hal_ac_jp/Documents/"/>
    </mc:Choice>
  </mc:AlternateContent>
  <xr:revisionPtr revIDLastSave="16094" documentId="8_{68170869-7DC3-4789-B5CF-F8DE35392AFA}" xr6:coauthVersionLast="47" xr6:coauthVersionMax="47" xr10:uidLastSave="{194FA50F-4BFC-4DB1-8518-91B9320DC958}"/>
  <bookViews>
    <workbookView xWindow="1035" yWindow="1620" windowWidth="15375" windowHeight="8325" xr2:uid="{2A50757F-9699-4DCD-AE7E-A693A9965F02}"/>
  </bookViews>
  <sheets>
    <sheet name="シーン入力の手引き" sheetId="5" r:id="rId1"/>
    <sheet name="シーン情報入力用シート" sheetId="1" r:id="rId2"/>
    <sheet name="データシート" sheetId="2" r:id="rId3"/>
    <sheet name="入力内容シート" sheetId="4" r:id="rId4"/>
    <sheet name="CSVファイル出力用シート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1" l="1"/>
  <c r="J5" i="1"/>
  <c r="K4" i="1"/>
  <c r="J4" i="1"/>
  <c r="K3" i="1"/>
  <c r="A2" i="2" s="1"/>
  <c r="J3" i="1"/>
  <c r="A1" i="2"/>
  <c r="A3" i="2" s="1"/>
</calcChain>
</file>

<file path=xl/sharedStrings.xml><?xml version="1.0" encoding="utf-8"?>
<sst xmlns="http://schemas.openxmlformats.org/spreadsheetml/2006/main" count="341" uniqueCount="97">
  <si>
    <t>シーン番号</t>
    <rPh sb="3" eb="5">
      <t>バンゴウ</t>
    </rPh>
    <phoneticPr fontId="1"/>
  </si>
  <si>
    <t>使用動作</t>
    <rPh sb="0" eb="2">
      <t>シヨウ</t>
    </rPh>
    <rPh sb="2" eb="4">
      <t>ドウサ</t>
    </rPh>
    <phoneticPr fontId="1"/>
  </si>
  <si>
    <t>ライントレース位置</t>
    <rPh sb="7" eb="9">
      <t>イチ</t>
    </rPh>
    <phoneticPr fontId="1"/>
  </si>
  <si>
    <t>PIDゲイン</t>
    <phoneticPr fontId="1"/>
  </si>
  <si>
    <t>閾値</t>
    <rPh sb="0" eb="2">
      <t>シキイチ</t>
    </rPh>
    <phoneticPr fontId="1"/>
  </si>
  <si>
    <t>目標速度</t>
    <rPh sb="0" eb="2">
      <t>モクヒョウ</t>
    </rPh>
    <rPh sb="2" eb="4">
      <t>ソクド</t>
    </rPh>
    <phoneticPr fontId="1"/>
  </si>
  <si>
    <t>カーブ半径</t>
    <rPh sb="3" eb="5">
      <t>ハンケイ</t>
    </rPh>
    <phoneticPr fontId="1"/>
  </si>
  <si>
    <t>目標座標</t>
    <rPh sb="0" eb="2">
      <t>モクヒョウ</t>
    </rPh>
    <rPh sb="2" eb="4">
      <t>ザヒョウ</t>
    </rPh>
    <phoneticPr fontId="1"/>
  </si>
  <si>
    <t>旋回方向</t>
    <rPh sb="0" eb="4">
      <t>センカイホウコウ</t>
    </rPh>
    <phoneticPr fontId="1"/>
  </si>
  <si>
    <t>アーム位置</t>
    <rPh sb="3" eb="5">
      <t>イチ</t>
    </rPh>
    <phoneticPr fontId="1"/>
  </si>
  <si>
    <t>アーム速度</t>
    <rPh sb="3" eb="5">
      <t>ソクド</t>
    </rPh>
    <phoneticPr fontId="1"/>
  </si>
  <si>
    <t>座標範囲</t>
    <rPh sb="0" eb="2">
      <t>ザヒョウ</t>
    </rPh>
    <rPh sb="2" eb="4">
      <t>ハンイ</t>
    </rPh>
    <phoneticPr fontId="1"/>
  </si>
  <si>
    <t>距離範囲</t>
    <rPh sb="0" eb="2">
      <t>キョリ</t>
    </rPh>
    <rPh sb="2" eb="4">
      <t>ハンイ</t>
    </rPh>
    <phoneticPr fontId="1"/>
  </si>
  <si>
    <t>目標距離</t>
    <rPh sb="0" eb="2">
      <t>モクヒョウ</t>
    </rPh>
    <rPh sb="2" eb="4">
      <t>キョリ</t>
    </rPh>
    <phoneticPr fontId="1"/>
  </si>
  <si>
    <t>目標色</t>
    <rPh sb="0" eb="2">
      <t>モクヒョウ</t>
    </rPh>
    <rPh sb="2" eb="3">
      <t>イロ</t>
    </rPh>
    <phoneticPr fontId="1"/>
  </si>
  <si>
    <t>RGB範囲</t>
    <rPh sb="3" eb="5">
      <t>ハンイ</t>
    </rPh>
    <phoneticPr fontId="1"/>
  </si>
  <si>
    <t>目標RGB</t>
    <rPh sb="0" eb="2">
      <t>モクヒョウ</t>
    </rPh>
    <phoneticPr fontId="1"/>
  </si>
  <si>
    <t>HSV範囲</t>
    <rPh sb="3" eb="5">
      <t>ハンイ</t>
    </rPh>
    <phoneticPr fontId="1"/>
  </si>
  <si>
    <t>目標HSV</t>
    <rPh sb="0" eb="2">
      <t>モクヒョウ</t>
    </rPh>
    <phoneticPr fontId="1"/>
  </si>
  <si>
    <t>角度範囲</t>
    <rPh sb="0" eb="2">
      <t>カクド</t>
    </rPh>
    <rPh sb="2" eb="4">
      <t>ハンイ</t>
    </rPh>
    <phoneticPr fontId="1"/>
  </si>
  <si>
    <t>目標角度</t>
    <rPh sb="0" eb="2">
      <t>モクヒョウ</t>
    </rPh>
    <rPh sb="2" eb="4">
      <t>カクド</t>
    </rPh>
    <phoneticPr fontId="1"/>
  </si>
  <si>
    <t>論理演算方法</t>
    <rPh sb="0" eb="2">
      <t>ロンリ</t>
    </rPh>
    <rPh sb="2" eb="4">
      <t>エンザン</t>
    </rPh>
    <rPh sb="4" eb="6">
      <t>ホウホウ</t>
    </rPh>
    <phoneticPr fontId="1"/>
  </si>
  <si>
    <t>使用補正</t>
    <rPh sb="0" eb="2">
      <t>シヨウ</t>
    </rPh>
    <rPh sb="2" eb="4">
      <t>ホセイ</t>
    </rPh>
    <phoneticPr fontId="1"/>
  </si>
  <si>
    <t>補正座標</t>
    <rPh sb="0" eb="2">
      <t>ホセイ</t>
    </rPh>
    <rPh sb="2" eb="4">
      <t>ザヒョウ</t>
    </rPh>
    <phoneticPr fontId="1"/>
  </si>
  <si>
    <t>補正角度</t>
    <rPh sb="0" eb="2">
      <t>ホセイ</t>
    </rPh>
    <rPh sb="2" eb="4">
      <t>カクド</t>
    </rPh>
    <phoneticPr fontId="1"/>
  </si>
  <si>
    <t>P</t>
    <phoneticPr fontId="1"/>
  </si>
  <si>
    <t>I</t>
    <phoneticPr fontId="1"/>
  </si>
  <si>
    <t>D</t>
    <phoneticPr fontId="1"/>
  </si>
  <si>
    <t>x</t>
    <phoneticPr fontId="1"/>
  </si>
  <si>
    <t>y</t>
    <phoneticPr fontId="1"/>
  </si>
  <si>
    <t>R</t>
    <phoneticPr fontId="1"/>
  </si>
  <si>
    <t>G</t>
    <phoneticPr fontId="1"/>
  </si>
  <si>
    <t>B</t>
    <phoneticPr fontId="1"/>
  </si>
  <si>
    <t>H</t>
    <phoneticPr fontId="1"/>
  </si>
  <si>
    <t>S</t>
    <phoneticPr fontId="1"/>
  </si>
  <si>
    <t>V</t>
    <phoneticPr fontId="1"/>
  </si>
  <si>
    <t>角度</t>
    <rPh sb="0" eb="2">
      <t>カクド</t>
    </rPh>
    <phoneticPr fontId="1"/>
  </si>
  <si>
    <t>-</t>
  </si>
  <si>
    <t>右</t>
    <rPh sb="0" eb="1">
      <t>ミギ</t>
    </rPh>
    <phoneticPr fontId="1"/>
  </si>
  <si>
    <t>左</t>
    <rPh sb="0" eb="1">
      <t>ヒダリ</t>
    </rPh>
    <phoneticPr fontId="1"/>
  </si>
  <si>
    <t>入力データ番号</t>
    <rPh sb="0" eb="2">
      <t>ニュウリョク</t>
    </rPh>
    <rPh sb="5" eb="7">
      <t>バンゴウ</t>
    </rPh>
    <phoneticPr fontId="1"/>
  </si>
  <si>
    <t>シーン内容</t>
    <rPh sb="3" eb="5">
      <t>ナイヨウ</t>
    </rPh>
    <phoneticPr fontId="1"/>
  </si>
  <si>
    <t>数値</t>
    <rPh sb="0" eb="2">
      <t>スウチ</t>
    </rPh>
    <phoneticPr fontId="1"/>
  </si>
  <si>
    <t>使用判定</t>
    <rPh sb="0" eb="4">
      <t>シヨウハンテイ</t>
    </rPh>
    <phoneticPr fontId="1"/>
  </si>
  <si>
    <t>範囲</t>
    <rPh sb="0" eb="2">
      <t>ハンイ</t>
    </rPh>
    <phoneticPr fontId="1"/>
  </si>
  <si>
    <t>論理演算方法</t>
    <rPh sb="0" eb="6">
      <t>ロンリエンザンホウホウ</t>
    </rPh>
    <phoneticPr fontId="1"/>
  </si>
  <si>
    <t>使用補正</t>
    <rPh sb="0" eb="4">
      <t>シヨウホセイ</t>
    </rPh>
    <phoneticPr fontId="1"/>
  </si>
  <si>
    <t>CSV入力データ</t>
    <rPh sb="3" eb="5">
      <t>ニュウリョク</t>
    </rPh>
    <phoneticPr fontId="1"/>
  </si>
  <si>
    <t>入力項目</t>
    <rPh sb="0" eb="4">
      <t>ニュウリョクコウモク</t>
    </rPh>
    <phoneticPr fontId="1"/>
  </si>
  <si>
    <t>-</t>
    <phoneticPr fontId="1"/>
  </si>
  <si>
    <t>直進</t>
    <rPh sb="0" eb="2">
      <t>チョクシン</t>
    </rPh>
    <phoneticPr fontId="1"/>
  </si>
  <si>
    <t>x座標</t>
    <rPh sb="1" eb="3">
      <t>ザヒョウ</t>
    </rPh>
    <phoneticPr fontId="1"/>
  </si>
  <si>
    <t>以上</t>
    <rPh sb="0" eb="2">
      <t>イジョウ</t>
    </rPh>
    <phoneticPr fontId="1"/>
  </si>
  <si>
    <t>or</t>
    <phoneticPr fontId="1"/>
  </si>
  <si>
    <t>可</t>
    <rPh sb="0" eb="1">
      <t>カ</t>
    </rPh>
    <phoneticPr fontId="1"/>
  </si>
  <si>
    <t>赤</t>
    <rPh sb="0" eb="1">
      <t>アカ</t>
    </rPh>
    <phoneticPr fontId="1"/>
  </si>
  <si>
    <t>カーブ</t>
    <phoneticPr fontId="1"/>
  </si>
  <si>
    <t>y座標</t>
    <rPh sb="1" eb="3">
      <t>ザヒョウ</t>
    </rPh>
    <phoneticPr fontId="1"/>
  </si>
  <si>
    <t>以下</t>
    <rPh sb="0" eb="2">
      <t>イカ</t>
    </rPh>
    <phoneticPr fontId="1"/>
  </si>
  <si>
    <t>and</t>
    <phoneticPr fontId="1"/>
  </si>
  <si>
    <t>青</t>
    <rPh sb="0" eb="1">
      <t>アオ</t>
    </rPh>
    <phoneticPr fontId="1"/>
  </si>
  <si>
    <t>旋回</t>
    <rPh sb="0" eb="2">
      <t>センカイ</t>
    </rPh>
    <phoneticPr fontId="1"/>
  </si>
  <si>
    <t>向き</t>
    <rPh sb="0" eb="1">
      <t>ム</t>
    </rPh>
    <phoneticPr fontId="1"/>
  </si>
  <si>
    <t>緑</t>
    <rPh sb="0" eb="1">
      <t>ミドリ</t>
    </rPh>
    <phoneticPr fontId="1"/>
  </si>
  <si>
    <t>ライントレース</t>
    <phoneticPr fontId="1"/>
  </si>
  <si>
    <t>色</t>
    <rPh sb="0" eb="1">
      <t>イロ</t>
    </rPh>
    <phoneticPr fontId="1"/>
  </si>
  <si>
    <t>黄</t>
    <rPh sb="0" eb="1">
      <t>コウ</t>
    </rPh>
    <phoneticPr fontId="1"/>
  </si>
  <si>
    <t>超音波</t>
    <rPh sb="0" eb="3">
      <t>チョウオンパ</t>
    </rPh>
    <phoneticPr fontId="1"/>
  </si>
  <si>
    <t>入力データ</t>
    <rPh sb="0" eb="2">
      <t>ニュウリョク</t>
    </rPh>
    <phoneticPr fontId="1"/>
  </si>
  <si>
    <t>入力項目：</t>
    <rPh sb="0" eb="4">
      <t>ニュウリョクコウモク</t>
    </rPh>
    <phoneticPr fontId="1"/>
  </si>
  <si>
    <t>・動作、判定、補正の3つに分かれている。</t>
  </si>
  <si>
    <t>入力内容：</t>
    <rPh sb="0" eb="2">
      <t>ニュウリョク</t>
    </rPh>
    <rPh sb="2" eb="4">
      <t>ナイヨウ</t>
    </rPh>
    <phoneticPr fontId="1"/>
  </si>
  <si>
    <t>・文字入力する際は入力項目以外の文字は入力しない。</t>
  </si>
  <si>
    <t>・数値を入力する際は、入力範囲に従って入力する。</t>
    <rPh sb="1" eb="3">
      <t>スウチ</t>
    </rPh>
    <rPh sb="4" eb="6">
      <t>ニュウリョク</t>
    </rPh>
    <rPh sb="8" eb="9">
      <t>サイ</t>
    </rPh>
    <rPh sb="11" eb="13">
      <t>ニュウリョク</t>
    </rPh>
    <rPh sb="13" eb="15">
      <t>ハンイ</t>
    </rPh>
    <rPh sb="16" eb="17">
      <t>シタガ</t>
    </rPh>
    <rPh sb="19" eb="21">
      <t>ニュウリョク</t>
    </rPh>
    <phoneticPr fontId="1"/>
  </si>
  <si>
    <r>
      <t>本ファイルを使用する際は、</t>
    </r>
    <r>
      <rPr>
        <b/>
        <sz val="11"/>
        <color rgb="FFFF0000"/>
        <rFont val="游ゴシック"/>
        <family val="3"/>
        <charset val="128"/>
        <scheme val="minor"/>
      </rPr>
      <t>デスクトップアプリで使用することを推奨</t>
    </r>
    <r>
      <rPr>
        <sz val="11"/>
        <color theme="1"/>
        <rFont val="游ゴシック"/>
        <family val="2"/>
        <charset val="128"/>
        <scheme val="minor"/>
      </rPr>
      <t>する。(CSVフォーマットに自動変換できなくなる恐れがある為)</t>
    </r>
    <rPh sb="0" eb="1">
      <t>ホン</t>
    </rPh>
    <rPh sb="6" eb="8">
      <t>シヨウ</t>
    </rPh>
    <rPh sb="10" eb="11">
      <t>サイ</t>
    </rPh>
    <rPh sb="23" eb="25">
      <t>シヨウ</t>
    </rPh>
    <rPh sb="30" eb="32">
      <t>スイショウ</t>
    </rPh>
    <rPh sb="46" eb="50">
      <t>ジドウヘンカン</t>
    </rPh>
    <rPh sb="56" eb="57">
      <t>オソ</t>
    </rPh>
    <rPh sb="61" eb="62">
      <t>タメ</t>
    </rPh>
    <phoneticPr fontId="1"/>
  </si>
  <si>
    <r>
      <t>・</t>
    </r>
    <r>
      <rPr>
        <b/>
        <sz val="11"/>
        <color theme="1"/>
        <rFont val="游ゴシック"/>
        <family val="3"/>
        <charset val="128"/>
        <scheme val="minor"/>
      </rPr>
      <t>シーンを追加</t>
    </r>
    <r>
      <rPr>
        <sz val="11"/>
        <color theme="1"/>
        <rFont val="游ゴシック"/>
        <family val="2"/>
        <charset val="128"/>
        <scheme val="minor"/>
      </rPr>
      <t>する際、A3の数値を変更することで数値分だけシーンを自動追加する。</t>
    </r>
    <rPh sb="5" eb="7">
      <t>ツイカ</t>
    </rPh>
    <rPh sb="9" eb="10">
      <t>サイ</t>
    </rPh>
    <rPh sb="14" eb="16">
      <t>スウチ</t>
    </rPh>
    <rPh sb="17" eb="19">
      <t>ヘンコウ</t>
    </rPh>
    <rPh sb="24" eb="26">
      <t>スウチ</t>
    </rPh>
    <rPh sb="26" eb="27">
      <t>ブン</t>
    </rPh>
    <rPh sb="33" eb="35">
      <t>ジドウ</t>
    </rPh>
    <rPh sb="35" eb="37">
      <t>ツイカ</t>
    </rPh>
    <phoneticPr fontId="1"/>
  </si>
  <si>
    <r>
      <t>注意1：Excel for web (共有して)使用する際は</t>
    </r>
    <r>
      <rPr>
        <b/>
        <sz val="11"/>
        <color theme="1"/>
        <rFont val="游ゴシック"/>
        <family val="3"/>
        <charset val="128"/>
        <scheme val="minor"/>
      </rPr>
      <t>ラグがあるので注意</t>
    </r>
    <r>
      <rPr>
        <sz val="11"/>
        <color theme="1"/>
        <rFont val="游ゴシック"/>
        <family val="2"/>
        <charset val="128"/>
        <scheme val="minor"/>
      </rPr>
      <t>。(</t>
    </r>
    <r>
      <rPr>
        <b/>
        <sz val="11"/>
        <color theme="1"/>
        <rFont val="游ゴシック"/>
        <family val="3"/>
        <charset val="128"/>
        <scheme val="minor"/>
      </rPr>
      <t>デスクトップアプリで使用している場合のみ</t>
    </r>
    <r>
      <rPr>
        <sz val="11"/>
        <color theme="1"/>
        <rFont val="游ゴシック"/>
        <family val="2"/>
        <charset val="128"/>
        <scheme val="minor"/>
      </rPr>
      <t>)</t>
    </r>
    <rPh sb="0" eb="2">
      <t>チュウイ</t>
    </rPh>
    <phoneticPr fontId="1"/>
  </si>
  <si>
    <t xml:space="preserve"> </t>
    <phoneticPr fontId="1"/>
  </si>
  <si>
    <r>
      <t>3.</t>
    </r>
    <r>
      <rPr>
        <sz val="11"/>
        <color theme="1"/>
        <rFont val="游ゴシック"/>
        <family val="3"/>
        <charset val="128"/>
        <scheme val="minor"/>
      </rPr>
      <t>最後に</t>
    </r>
    <r>
      <rPr>
        <b/>
        <sz val="11"/>
        <color theme="1"/>
        <rFont val="游ゴシック"/>
        <family val="3"/>
        <charset val="128"/>
        <scheme val="minor"/>
      </rPr>
      <t>"入力内容シート"に”シーン情報入力用シート”追加した</t>
    </r>
    <r>
      <rPr>
        <b/>
        <sz val="11"/>
        <color rgb="FFFF0000"/>
        <rFont val="游ゴシック"/>
        <family val="3"/>
        <charset val="128"/>
        <scheme val="minor"/>
      </rPr>
      <t>順</t>
    </r>
    <r>
      <rPr>
        <b/>
        <sz val="11"/>
        <color theme="1"/>
        <rFont val="游ゴシック"/>
        <family val="3"/>
        <charset val="128"/>
        <scheme val="minor"/>
      </rPr>
      <t>で挿入し、</t>
    </r>
    <r>
      <rPr>
        <sz val="11"/>
        <color theme="1"/>
        <rFont val="游ゴシック"/>
        <family val="3"/>
        <charset val="128"/>
        <scheme val="minor"/>
      </rPr>
      <t>入力する内容に沿った</t>
    </r>
    <r>
      <rPr>
        <b/>
        <sz val="11"/>
        <color theme="1"/>
        <rFont val="游ゴシック"/>
        <family val="3"/>
        <charset val="128"/>
        <scheme val="minor"/>
      </rPr>
      <t>入力データ番号を記載する。</t>
    </r>
    <rPh sb="2" eb="4">
      <t>サイゴ</t>
    </rPh>
    <rPh sb="6" eb="8">
      <t>ニュウリョク</t>
    </rPh>
    <rPh sb="8" eb="10">
      <t>ナイヨウ</t>
    </rPh>
    <rPh sb="19" eb="21">
      <t>ジョウホウ</t>
    </rPh>
    <rPh sb="21" eb="24">
      <t>ニュウリョクヨウ</t>
    </rPh>
    <rPh sb="28" eb="30">
      <t>ツイカ</t>
    </rPh>
    <rPh sb="32" eb="33">
      <t>ジュン</t>
    </rPh>
    <rPh sb="34" eb="36">
      <t>ソウニュウ</t>
    </rPh>
    <rPh sb="38" eb="40">
      <t>ニュウリョク</t>
    </rPh>
    <rPh sb="42" eb="44">
      <t>ナイヨウ</t>
    </rPh>
    <rPh sb="45" eb="46">
      <t>ソ</t>
    </rPh>
    <rPh sb="48" eb="50">
      <t>ニュウリョク</t>
    </rPh>
    <rPh sb="53" eb="55">
      <t>バンゴウ</t>
    </rPh>
    <rPh sb="56" eb="58">
      <t>キサイ</t>
    </rPh>
    <phoneticPr fontId="1"/>
  </si>
  <si>
    <r>
      <t>・項目を追加する際は、</t>
    </r>
    <r>
      <rPr>
        <b/>
        <sz val="11"/>
        <color rgb="FFFF0000"/>
        <rFont val="游ゴシック"/>
        <family val="3"/>
        <charset val="128"/>
        <scheme val="minor"/>
      </rPr>
      <t>シーンの順に気を付けて</t>
    </r>
    <r>
      <rPr>
        <b/>
        <sz val="11"/>
        <color theme="1"/>
        <rFont val="游ゴシック"/>
        <family val="3"/>
        <charset val="128"/>
        <scheme val="minor"/>
      </rPr>
      <t>追加</t>
    </r>
    <r>
      <rPr>
        <sz val="11"/>
        <color theme="1"/>
        <rFont val="游ゴシック"/>
        <family val="2"/>
        <charset val="128"/>
        <scheme val="minor"/>
      </rPr>
      <t>してください。順序を下記に記載する</t>
    </r>
    <rPh sb="1" eb="3">
      <t>コウモク</t>
    </rPh>
    <rPh sb="4" eb="6">
      <t>ツイカ</t>
    </rPh>
    <rPh sb="8" eb="9">
      <t>サイ</t>
    </rPh>
    <rPh sb="15" eb="16">
      <t>ジュン</t>
    </rPh>
    <rPh sb="17" eb="18">
      <t>キ</t>
    </rPh>
    <rPh sb="19" eb="20">
      <t>ツ</t>
    </rPh>
    <rPh sb="22" eb="24">
      <t>ツイカ</t>
    </rPh>
    <rPh sb="31" eb="33">
      <t>ジュンジョ</t>
    </rPh>
    <rPh sb="34" eb="36">
      <t>カキ</t>
    </rPh>
    <rPh sb="37" eb="39">
      <t>キサイ</t>
    </rPh>
    <phoneticPr fontId="1"/>
  </si>
  <si>
    <r>
      <t>・項目を削除する場合も、</t>
    </r>
    <r>
      <rPr>
        <b/>
        <sz val="11"/>
        <color rgb="FFFF0000"/>
        <rFont val="游ゴシック"/>
        <family val="3"/>
        <charset val="128"/>
        <scheme val="minor"/>
      </rPr>
      <t>シーンの順に気を付けて</t>
    </r>
    <r>
      <rPr>
        <b/>
        <sz val="11"/>
        <color theme="1"/>
        <rFont val="游ゴシック"/>
        <family val="3"/>
        <charset val="128"/>
        <scheme val="minor"/>
      </rPr>
      <t>削除</t>
    </r>
    <r>
      <rPr>
        <sz val="11"/>
        <color theme="1"/>
        <rFont val="游ゴシック"/>
        <family val="3"/>
        <charset val="128"/>
        <scheme val="minor"/>
      </rPr>
      <t>してください。</t>
    </r>
    <rPh sb="1" eb="3">
      <t>コウモク</t>
    </rPh>
    <rPh sb="4" eb="6">
      <t>サクジョ</t>
    </rPh>
    <rPh sb="8" eb="10">
      <t>バアイ</t>
    </rPh>
    <rPh sb="16" eb="17">
      <t>ジュン</t>
    </rPh>
    <rPh sb="18" eb="19">
      <t>キ</t>
    </rPh>
    <rPh sb="20" eb="21">
      <t>ツ</t>
    </rPh>
    <rPh sb="23" eb="25">
      <t>サクジョ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</si>
  <si>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1</t>
    </r>
    <r>
      <rPr>
        <sz val="11"/>
        <color theme="1"/>
        <rFont val="游ゴシック"/>
        <family val="2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"シーン情報入力用シート"</t>
    </r>
    <r>
      <rPr>
        <sz val="11"/>
        <color theme="1"/>
        <rFont val="游ゴシック"/>
        <family val="2"/>
        <charset val="128"/>
        <scheme val="minor"/>
      </rPr>
      <t>で追加したい箇所に列を挿入し、行1,2以内に項目を記載する。</t>
    </r>
    <rPh sb="6" eb="11">
      <t>ジョウホウニュウリョクヨウ</t>
    </rPh>
    <rPh sb="16" eb="18">
      <t>ツイカ</t>
    </rPh>
    <rPh sb="21" eb="23">
      <t>カショ</t>
    </rPh>
    <rPh sb="24" eb="25">
      <t>レツ</t>
    </rPh>
    <rPh sb="26" eb="28">
      <t>ソウニュウ</t>
    </rPh>
    <rPh sb="30" eb="31">
      <t>ギョウ</t>
    </rPh>
    <rPh sb="34" eb="36">
      <t>イナイ</t>
    </rPh>
    <rPh sb="37" eb="39">
      <t>コウモク</t>
    </rPh>
    <rPh sb="40" eb="42">
      <t>キサイ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</si>
  <si>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2</t>
    </r>
    <r>
      <rPr>
        <sz val="11"/>
        <color theme="1"/>
        <rFont val="游ゴシック"/>
        <family val="2"/>
        <charset val="128"/>
        <scheme val="minor"/>
      </rPr>
      <t>.入力データが数値または</t>
    </r>
    <r>
      <rPr>
        <b/>
        <sz val="11"/>
        <color theme="1"/>
        <rFont val="游ゴシック"/>
        <family val="3"/>
        <charset val="128"/>
        <scheme val="minor"/>
      </rPr>
      <t>”データシート”</t>
    </r>
    <r>
      <rPr>
        <sz val="11"/>
        <color theme="1"/>
        <rFont val="游ゴシック"/>
        <family val="2"/>
        <charset val="128"/>
        <scheme val="minor"/>
      </rPr>
      <t>にない場合は、</t>
    </r>
    <r>
      <rPr>
        <b/>
        <sz val="11"/>
        <color rgb="FFFF0000"/>
        <rFont val="游ゴシック"/>
        <family val="3"/>
        <charset val="128"/>
        <scheme val="minor"/>
      </rPr>
      <t>入力データ番号</t>
    </r>
    <r>
      <rPr>
        <sz val="11"/>
        <color theme="1"/>
        <rFont val="游ゴシック"/>
        <family val="2"/>
        <charset val="128"/>
        <scheme val="minor"/>
      </rPr>
      <t>,</t>
    </r>
    <r>
      <rPr>
        <b/>
        <sz val="11"/>
        <color rgb="FFFF0000"/>
        <rFont val="游ゴシック"/>
        <family val="3"/>
        <charset val="128"/>
        <scheme val="minor"/>
      </rPr>
      <t>シーン内容</t>
    </r>
    <r>
      <rPr>
        <sz val="11"/>
        <color theme="1"/>
        <rFont val="游ゴシック"/>
        <family val="2"/>
        <charset val="128"/>
        <scheme val="minor"/>
      </rPr>
      <t>,</t>
    </r>
    <r>
      <rPr>
        <b/>
        <sz val="11"/>
        <color rgb="FFFF0000"/>
        <rFont val="游ゴシック"/>
        <family val="3"/>
        <charset val="128"/>
        <scheme val="minor"/>
      </rPr>
      <t>CSV入力データ</t>
    </r>
    <r>
      <rPr>
        <sz val="11"/>
        <color theme="1"/>
        <rFont val="游ゴシック"/>
        <family val="2"/>
        <charset val="128"/>
        <scheme val="minor"/>
      </rPr>
      <t xml:space="preserve">, </t>
    </r>
    <r>
      <rPr>
        <b/>
        <sz val="11"/>
        <color rgb="FFFF0000"/>
        <rFont val="游ゴシック"/>
        <family val="3"/>
        <charset val="128"/>
        <scheme val="minor"/>
      </rPr>
      <t>入力項目</t>
    </r>
    <r>
      <rPr>
        <sz val="11"/>
        <color theme="1"/>
        <rFont val="游ゴシック"/>
        <family val="2"/>
        <charset val="128"/>
        <scheme val="minor"/>
      </rPr>
      <t>を</t>
    </r>
    <r>
      <rPr>
        <b/>
        <sz val="11"/>
        <color theme="1"/>
        <rFont val="游ゴシック"/>
        <family val="3"/>
        <charset val="128"/>
        <scheme val="minor"/>
      </rPr>
      <t>必ず記載する</t>
    </r>
    <r>
      <rPr>
        <sz val="11"/>
        <color theme="1"/>
        <rFont val="游ゴシック"/>
        <family val="3"/>
        <charset val="128"/>
        <scheme val="minor"/>
      </rPr>
      <t>(入力規制をかける場合は、調べて実装すること)</t>
    </r>
    <rPh sb="2" eb="4">
      <t>ニュウリョク</t>
    </rPh>
    <rPh sb="8" eb="10">
      <t>スウチ</t>
    </rPh>
    <rPh sb="24" eb="26">
      <t>バアイ</t>
    </rPh>
    <rPh sb="28" eb="30">
      <t>ニュウリョク</t>
    </rPh>
    <rPh sb="33" eb="35">
      <t>バンゴウ</t>
    </rPh>
    <rPh sb="39" eb="41">
      <t>ナイヨウ</t>
    </rPh>
    <rPh sb="45" eb="47">
      <t>ニュウリョク</t>
    </rPh>
    <rPh sb="52" eb="56">
      <t>ニュウリョクコウモク</t>
    </rPh>
    <rPh sb="57" eb="58">
      <t>カナラ</t>
    </rPh>
    <rPh sb="59" eb="61">
      <t>キサイ</t>
    </rPh>
    <rPh sb="64" eb="68">
      <t>ニュウリョクキセイ</t>
    </rPh>
    <rPh sb="72" eb="74">
      <t>バアイ</t>
    </rPh>
    <rPh sb="76" eb="77">
      <t>シラ</t>
    </rPh>
    <rPh sb="79" eb="81">
      <t>ジッソウ</t>
    </rPh>
    <phoneticPr fontId="1"/>
  </si>
  <si>
    <r>
      <t>シーン入力は、</t>
    </r>
    <r>
      <rPr>
        <b/>
        <sz val="11"/>
        <color theme="1"/>
        <rFont val="游ゴシック"/>
        <family val="3"/>
        <charset val="128"/>
        <scheme val="minor"/>
      </rPr>
      <t>"シーン情報入力用シート"で行う。</t>
    </r>
    <r>
      <rPr>
        <sz val="11"/>
        <color theme="1"/>
        <rFont val="游ゴシック"/>
        <family val="2"/>
        <charset val="128"/>
        <scheme val="minor"/>
      </rPr>
      <t>基本的にユーザーは、</t>
    </r>
    <r>
      <rPr>
        <b/>
        <sz val="11"/>
        <color theme="1"/>
        <rFont val="游ゴシック"/>
        <family val="3"/>
        <charset val="128"/>
        <scheme val="minor"/>
      </rPr>
      <t>シーン情報入力用シートのみ</t>
    </r>
    <r>
      <rPr>
        <sz val="11"/>
        <color theme="1"/>
        <rFont val="游ゴシック"/>
        <family val="2"/>
        <charset val="128"/>
        <scheme val="minor"/>
      </rPr>
      <t>を入力する。</t>
    </r>
    <rPh sb="3" eb="5">
      <t>ニュウリョク</t>
    </rPh>
    <rPh sb="11" eb="13">
      <t>ジョウホウ</t>
    </rPh>
    <rPh sb="13" eb="15">
      <t>ニュウリョク</t>
    </rPh>
    <rPh sb="15" eb="16">
      <t>ヨウ</t>
    </rPh>
    <rPh sb="21" eb="22">
      <t>オコナ</t>
    </rPh>
    <rPh sb="24" eb="27">
      <t>キホンテキ</t>
    </rPh>
    <rPh sb="37" eb="42">
      <t>ジョウホウニュウリョクヨウ</t>
    </rPh>
    <rPh sb="48" eb="50">
      <t>ニュウリョク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</si>
  <si>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1</t>
    </r>
    <r>
      <rPr>
        <sz val="11"/>
        <color theme="1"/>
        <rFont val="游ゴシック"/>
        <family val="2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"シーン情報入力用シート"と"入力内容シート"</t>
    </r>
    <r>
      <rPr>
        <sz val="11"/>
        <color theme="1"/>
        <rFont val="游ゴシック"/>
        <family val="2"/>
        <charset val="128"/>
        <scheme val="minor"/>
      </rPr>
      <t>で削除したい箇所を</t>
    </r>
    <r>
      <rPr>
        <b/>
        <sz val="11"/>
        <rFont val="游ゴシック"/>
        <family val="3"/>
        <charset val="128"/>
        <scheme val="minor"/>
      </rPr>
      <t>必ず列ごと削除して</t>
    </r>
    <r>
      <rPr>
        <sz val="11"/>
        <color theme="1"/>
        <rFont val="游ゴシック"/>
        <family val="2"/>
        <charset val="128"/>
        <scheme val="minor"/>
      </rPr>
      <t>ください。</t>
    </r>
    <rPh sb="26" eb="28">
      <t>サクジョ</t>
    </rPh>
    <rPh sb="31" eb="33">
      <t>カショ</t>
    </rPh>
    <rPh sb="34" eb="35">
      <t>カナラ</t>
    </rPh>
    <rPh sb="36" eb="37">
      <t>レツ</t>
    </rPh>
    <rPh sb="39" eb="41">
      <t>サクジョ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</si>
  <si>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2</t>
    </r>
    <r>
      <rPr>
        <sz val="11"/>
        <color theme="1"/>
        <rFont val="游ゴシック"/>
        <family val="3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"データシート"</t>
    </r>
    <r>
      <rPr>
        <sz val="11"/>
        <color theme="1"/>
        <rFont val="游ゴシック"/>
        <family val="3"/>
        <charset val="128"/>
        <scheme val="minor"/>
      </rPr>
      <t>に関しては削除しなくても構わない。</t>
    </r>
    <rPh sb="11" eb="12">
      <t>カン</t>
    </rPh>
    <rPh sb="15" eb="17">
      <t>サクジョ</t>
    </rPh>
    <rPh sb="22" eb="23">
      <t>カマ</t>
    </rPh>
    <phoneticPr fontId="1"/>
  </si>
  <si>
    <t>CSVファイル出力：</t>
    <rPh sb="7" eb="9">
      <t>シュツリョク</t>
    </rPh>
    <phoneticPr fontId="1"/>
  </si>
  <si>
    <r>
      <t>・</t>
    </r>
    <r>
      <rPr>
        <b/>
        <sz val="11"/>
        <color theme="1"/>
        <rFont val="游ゴシック"/>
        <family val="3"/>
        <charset val="128"/>
        <scheme val="minor"/>
      </rPr>
      <t>"CSVファイル出力用シート"</t>
    </r>
    <r>
      <rPr>
        <sz val="11"/>
        <color theme="1"/>
        <rFont val="游ゴシック"/>
        <family val="2"/>
        <charset val="128"/>
        <scheme val="minor"/>
      </rPr>
      <t>をアクティブにする(開く)ことで自動で更新するので、シートをCSVファイルとして保存することでファイル出力を可能とする。</t>
    </r>
    <rPh sb="9" eb="12">
      <t>シュツリョクヨウ</t>
    </rPh>
    <rPh sb="26" eb="27">
      <t>ヒラ</t>
    </rPh>
    <rPh sb="32" eb="34">
      <t>ジドウ</t>
    </rPh>
    <rPh sb="35" eb="37">
      <t>コウシン</t>
    </rPh>
    <rPh sb="56" eb="58">
      <t>ホゾン</t>
    </rPh>
    <rPh sb="67" eb="69">
      <t>シュツリョク</t>
    </rPh>
    <rPh sb="70" eb="72">
      <t>カノウ</t>
    </rPh>
    <phoneticPr fontId="1"/>
  </si>
  <si>
    <r>
      <t>ただし、自動更新については</t>
    </r>
    <r>
      <rPr>
        <b/>
        <sz val="11"/>
        <color theme="1"/>
        <rFont val="游ゴシック"/>
        <family val="3"/>
        <charset val="128"/>
        <scheme val="minor"/>
      </rPr>
      <t>デスクトップアプリのみを推奨している。</t>
    </r>
    <rPh sb="4" eb="6">
      <t>ジドウ</t>
    </rPh>
    <rPh sb="6" eb="8">
      <t>コウシン</t>
    </rPh>
    <rPh sb="25" eb="27">
      <t>スイショウ</t>
    </rPh>
    <phoneticPr fontId="1"/>
  </si>
  <si>
    <t>シーンを自動追加するため、行を削除してもA3の値分だけ自動追加される。</t>
    <rPh sb="4" eb="6">
      <t>ジドウ</t>
    </rPh>
    <rPh sb="6" eb="8">
      <t>ツイカ</t>
    </rPh>
    <rPh sb="13" eb="14">
      <t>ギョウ</t>
    </rPh>
    <rPh sb="15" eb="17">
      <t>サクジョ</t>
    </rPh>
    <rPh sb="23" eb="25">
      <t>アタイブン</t>
    </rPh>
    <rPh sb="27" eb="29">
      <t>ジドウ</t>
    </rPh>
    <rPh sb="29" eb="31">
      <t>ツイカ</t>
    </rPh>
    <phoneticPr fontId="1"/>
  </si>
  <si>
    <r>
      <t>・シーンを削除する際は、</t>
    </r>
    <r>
      <rPr>
        <b/>
        <sz val="11"/>
        <color theme="1"/>
        <rFont val="游ゴシック"/>
        <family val="3"/>
        <charset val="128"/>
        <scheme val="minor"/>
      </rPr>
      <t>必ずA3を減らしてから行ごと削除する</t>
    </r>
    <r>
      <rPr>
        <sz val="11"/>
        <color theme="1"/>
        <rFont val="游ゴシック"/>
        <family val="2"/>
        <charset val="128"/>
        <scheme val="minor"/>
      </rPr>
      <t>こと</t>
    </r>
    <rPh sb="5" eb="7">
      <t>サクジョ</t>
    </rPh>
    <rPh sb="9" eb="10">
      <t>サイ</t>
    </rPh>
    <rPh sb="12" eb="13">
      <t>カナラ</t>
    </rPh>
    <rPh sb="17" eb="18">
      <t>ヘ</t>
    </rPh>
    <rPh sb="23" eb="24">
      <t>ギョウ</t>
    </rPh>
    <rPh sb="26" eb="28">
      <t>サクジョ</t>
    </rPh>
    <phoneticPr fontId="1"/>
  </si>
  <si>
    <t>補正使用判定1</t>
    <rPh sb="0" eb="2">
      <t>ホセイ</t>
    </rPh>
    <rPh sb="2" eb="4">
      <t>シヨウ</t>
    </rPh>
    <rPh sb="4" eb="6">
      <t>ハンテイ</t>
    </rPh>
    <phoneticPr fontId="1"/>
  </si>
  <si>
    <t>補正使用判定2</t>
    <rPh sb="0" eb="2">
      <t>ホセイ</t>
    </rPh>
    <rPh sb="2" eb="6">
      <t>シヨウハンテイ</t>
    </rPh>
    <phoneticPr fontId="1"/>
  </si>
  <si>
    <t>動作使用判定1</t>
    <rPh sb="0" eb="2">
      <t>ドウサ</t>
    </rPh>
    <rPh sb="2" eb="4">
      <t>シヨウ</t>
    </rPh>
    <rPh sb="4" eb="6">
      <t>ハンテイ</t>
    </rPh>
    <phoneticPr fontId="1"/>
  </si>
  <si>
    <t>動作使用判定2</t>
    <rPh sb="0" eb="2">
      <t>ドウサ</t>
    </rPh>
    <rPh sb="2" eb="6">
      <t>シヨウハンテイ</t>
    </rPh>
    <phoneticPr fontId="1"/>
  </si>
  <si>
    <t>注意2：手動で追加する場合、行3を行ごとコピーして追加できるが推奨はしていない。(コピーする際に位置がずれないよう注意)</t>
    <rPh sb="0" eb="2">
      <t>チュウイ</t>
    </rPh>
    <rPh sb="4" eb="6">
      <t>シュドウ</t>
    </rPh>
    <rPh sb="7" eb="9">
      <t>ツイカ</t>
    </rPh>
    <rPh sb="11" eb="13">
      <t>バアイ</t>
    </rPh>
    <rPh sb="14" eb="15">
      <t>ギョウ</t>
    </rPh>
    <rPh sb="17" eb="18">
      <t>ギョウ</t>
    </rPh>
    <rPh sb="25" eb="27">
      <t>ツイカ</t>
    </rPh>
    <rPh sb="31" eb="33">
      <t>スイショウ</t>
    </rPh>
    <rPh sb="46" eb="47">
      <t>サイ</t>
    </rPh>
    <rPh sb="48" eb="50">
      <t>イチ</t>
    </rPh>
    <rPh sb="57" eb="59">
      <t>チュウイ</t>
    </rPh>
    <phoneticPr fontId="1"/>
  </si>
  <si>
    <t>注意3：現在のシーンから少ない数値の場合は変化しないので注意(事故防止の為、シーンを削除する機能は実装していない。)</t>
    <rPh sb="0" eb="2">
      <t>チュウイ</t>
    </rPh>
    <rPh sb="42" eb="44">
      <t>サクジョ</t>
    </rPh>
    <rPh sb="46" eb="48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</si>
</sst>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6" borderId="1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7" borderId="4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7" borderId="1" xfId="0" applyFill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6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432797</xdr:colOff>
      <xdr:row>10</xdr:row>
      <xdr:rowOff>47625</xdr:rowOff>
    </xdr:from>
    <xdr:to>
      <xdr:col>18</xdr:col>
      <xdr:colOff>342900</xdr:colOff>
      <xdr:row>16</xdr:row>
      <xdr:rowOff>171449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E471EFE9-BBEC-0F2B-0567-A6282F28325C}"/>
            </a:ext>
          </a:extLst>
        </xdr:cNvPr>
        <xdr:cNvGrpSpPr/>
      </xdr:nvGrpSpPr>
      <xdr:grpSpPr>
        <a:xfrm>
          <a:off x="7346826" y="2400860"/>
          <a:ext cx="5378574" cy="1535765"/>
          <a:chOff x="823322" y="2486026"/>
          <a:chExt cx="5396503" cy="1328991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FE985942-E776-CE62-F1A2-CABD976FD23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45289" b="22485"/>
          <a:stretch/>
        </xdr:blipFill>
        <xdr:spPr>
          <a:xfrm>
            <a:off x="823322" y="2486026"/>
            <a:ext cx="5396503" cy="1328991"/>
          </a:xfrm>
          <a:prstGeom prst="rect">
            <a:avLst/>
          </a:prstGeom>
        </xdr:spPr>
      </xdr:pic>
      <xdr:sp macro="" textlink="">
        <xdr:nvSpPr>
          <xdr:cNvPr id="3" name="楕円 2">
            <a:extLst>
              <a:ext uri="{FF2B5EF4-FFF2-40B4-BE49-F238E27FC236}">
                <a16:creationId xmlns:a16="http://schemas.microsoft.com/office/drawing/2014/main" id="{342E930D-8AE5-628B-FF5E-07569A7A9405}"/>
              </a:ext>
            </a:extLst>
          </xdr:cNvPr>
          <xdr:cNvSpPr/>
        </xdr:nvSpPr>
        <xdr:spPr>
          <a:xfrm>
            <a:off x="1323974" y="3105150"/>
            <a:ext cx="485775" cy="314325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5DD1707E-65E0-B6E1-8186-28149B1436CD}"/>
              </a:ext>
            </a:extLst>
          </xdr:cNvPr>
          <xdr:cNvSpPr txBox="1"/>
        </xdr:nvSpPr>
        <xdr:spPr>
          <a:xfrm>
            <a:off x="1466849" y="2762251"/>
            <a:ext cx="2847976" cy="314324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="1">
                <a:solidFill>
                  <a:srgbClr val="FF0000"/>
                </a:solidFill>
              </a:rPr>
              <a:t>シーンを追加する際は、この部分を変更</a:t>
            </a:r>
            <a:endParaRPr kumimoji="1" lang="en-US" altLang="ja-JP" sz="11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390525</xdr:colOff>
      <xdr:row>20</xdr:row>
      <xdr:rowOff>19050</xdr:rowOff>
    </xdr:from>
    <xdr:to>
      <xdr:col>7</xdr:col>
      <xdr:colOff>47625</xdr:colOff>
      <xdr:row>27</xdr:row>
      <xdr:rowOff>114299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D2AA5AFD-17B5-611B-6B07-95F4878D27FC}"/>
            </a:ext>
          </a:extLst>
        </xdr:cNvPr>
        <xdr:cNvGrpSpPr/>
      </xdr:nvGrpSpPr>
      <xdr:grpSpPr>
        <a:xfrm>
          <a:off x="1074084" y="4725521"/>
          <a:ext cx="3836894" cy="1742513"/>
          <a:chOff x="3895725" y="7229475"/>
          <a:chExt cx="4191000" cy="1905000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81AB00CB-17AE-4A05-50E0-D513058619A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28488" r="10067" b="17095"/>
          <a:stretch/>
        </xdr:blipFill>
        <xdr:spPr>
          <a:xfrm>
            <a:off x="3895725" y="7239000"/>
            <a:ext cx="4191000" cy="1895475"/>
          </a:xfrm>
          <a:prstGeom prst="rect">
            <a:avLst/>
          </a:prstGeom>
        </xdr:spPr>
      </xdr:pic>
      <xdr:sp macro="" textlink="">
        <xdr:nvSpPr>
          <xdr:cNvPr id="7" name="楕円 6">
            <a:extLst>
              <a:ext uri="{FF2B5EF4-FFF2-40B4-BE49-F238E27FC236}">
                <a16:creationId xmlns:a16="http://schemas.microsoft.com/office/drawing/2014/main" id="{2A3C59F4-79C5-784A-2901-4C2D7199FD28}"/>
              </a:ext>
            </a:extLst>
          </xdr:cNvPr>
          <xdr:cNvSpPr/>
        </xdr:nvSpPr>
        <xdr:spPr>
          <a:xfrm>
            <a:off x="5076825" y="7229475"/>
            <a:ext cx="1228725" cy="514350"/>
          </a:xfrm>
          <a:prstGeom prst="ellipse">
            <a:avLst/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AD4987F0-510F-8DD6-1A1E-F045A49358F3}"/>
              </a:ext>
            </a:extLst>
          </xdr:cNvPr>
          <xdr:cNvSpPr txBox="1"/>
        </xdr:nvSpPr>
        <xdr:spPr>
          <a:xfrm>
            <a:off x="5514975" y="7962900"/>
            <a:ext cx="2562225" cy="314325"/>
          </a:xfrm>
          <a:prstGeom prst="rect">
            <a:avLst/>
          </a:prstGeom>
          <a:solidFill>
            <a:schemeClr val="lt1"/>
          </a:solidFill>
          <a:ln w="19050" cmpd="sng">
            <a:solidFill>
              <a:srgbClr val="0070C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 b="1"/>
              <a:t>1.</a:t>
            </a:r>
            <a:r>
              <a:rPr kumimoji="1" lang="ja-JP" altLang="en-US" sz="1100" b="1"/>
              <a:t>行ごと追加し、項目を追加記入する</a:t>
            </a:r>
          </a:p>
        </xdr:txBody>
      </xdr:sp>
    </xdr:grpSp>
    <xdr:clientData/>
  </xdr:twoCellAnchor>
  <xdr:twoCellAnchor>
    <xdr:from>
      <xdr:col>7</xdr:col>
      <xdr:colOff>346262</xdr:colOff>
      <xdr:row>20</xdr:row>
      <xdr:rowOff>33337</xdr:rowOff>
    </xdr:from>
    <xdr:to>
      <xdr:col>11</xdr:col>
      <xdr:colOff>584387</xdr:colOff>
      <xdr:row>26</xdr:row>
      <xdr:rowOff>173411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C002889D-EB8E-9155-BACB-6FCDD8718EB3}"/>
            </a:ext>
          </a:extLst>
        </xdr:cNvPr>
        <xdr:cNvGrpSpPr/>
      </xdr:nvGrpSpPr>
      <xdr:grpSpPr>
        <a:xfrm>
          <a:off x="5209615" y="4739808"/>
          <a:ext cx="2972360" cy="1552015"/>
          <a:chOff x="5027735" y="8928222"/>
          <a:chExt cx="2993048" cy="1597269"/>
        </a:xfrm>
      </xdr:grpSpPr>
      <xdr:pic>
        <xdr:nvPicPr>
          <xdr:cNvPr id="10" name="図 9">
            <a:extLst>
              <a:ext uri="{FF2B5EF4-FFF2-40B4-BE49-F238E27FC236}">
                <a16:creationId xmlns:a16="http://schemas.microsoft.com/office/drawing/2014/main" id="{08CDD7C0-8481-A277-7F8B-EC694F34120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6010" t="10221" r="8483" b="16456"/>
          <a:stretch/>
        </xdr:blipFill>
        <xdr:spPr>
          <a:xfrm>
            <a:off x="5027735" y="8928222"/>
            <a:ext cx="2993048" cy="1597269"/>
          </a:xfrm>
          <a:prstGeom prst="rect">
            <a:avLst/>
          </a:prstGeom>
        </xdr:spPr>
      </xdr:pic>
      <xdr:sp macro="" textlink="">
        <xdr:nvSpPr>
          <xdr:cNvPr id="11" name="正方形/長方形 10">
            <a:extLst>
              <a:ext uri="{FF2B5EF4-FFF2-40B4-BE49-F238E27FC236}">
                <a16:creationId xmlns:a16="http://schemas.microsoft.com/office/drawing/2014/main" id="{13E74376-0225-F187-5C02-72417C3F5BDE}"/>
              </a:ext>
            </a:extLst>
          </xdr:cNvPr>
          <xdr:cNvSpPr/>
        </xdr:nvSpPr>
        <xdr:spPr>
          <a:xfrm>
            <a:off x="7134407" y="9069998"/>
            <a:ext cx="509589" cy="213214"/>
          </a:xfrm>
          <a:prstGeom prst="rect">
            <a:avLst/>
          </a:prstGeom>
          <a:noFill/>
          <a:ln w="28575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DB0AA69A-B1F4-4ACA-8659-8EB074C5D601}"/>
              </a:ext>
            </a:extLst>
          </xdr:cNvPr>
          <xdr:cNvSpPr/>
        </xdr:nvSpPr>
        <xdr:spPr>
          <a:xfrm>
            <a:off x="7136789" y="9321312"/>
            <a:ext cx="509587" cy="196545"/>
          </a:xfrm>
          <a:prstGeom prst="rect">
            <a:avLst/>
          </a:prstGeom>
          <a:noFill/>
          <a:ln w="28575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正方形/長方形 13">
            <a:extLst>
              <a:ext uri="{FF2B5EF4-FFF2-40B4-BE49-F238E27FC236}">
                <a16:creationId xmlns:a16="http://schemas.microsoft.com/office/drawing/2014/main" id="{92BCC053-0379-4965-997D-63664C7C05BC}"/>
              </a:ext>
            </a:extLst>
          </xdr:cNvPr>
          <xdr:cNvSpPr/>
        </xdr:nvSpPr>
        <xdr:spPr>
          <a:xfrm>
            <a:off x="6771909" y="9074761"/>
            <a:ext cx="333925" cy="20607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正方形/長方形 14">
            <a:extLst>
              <a:ext uri="{FF2B5EF4-FFF2-40B4-BE49-F238E27FC236}">
                <a16:creationId xmlns:a16="http://schemas.microsoft.com/office/drawing/2014/main" id="{D032A518-4743-490C-89FE-3ABB00760041}"/>
              </a:ext>
            </a:extLst>
          </xdr:cNvPr>
          <xdr:cNvSpPr/>
        </xdr:nvSpPr>
        <xdr:spPr>
          <a:xfrm>
            <a:off x="6764765" y="9318930"/>
            <a:ext cx="333925" cy="208451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7</xdr:col>
      <xdr:colOff>378198</xdr:colOff>
      <xdr:row>23</xdr:row>
      <xdr:rowOff>123824</xdr:rowOff>
    </xdr:from>
    <xdr:to>
      <xdr:col>12</xdr:col>
      <xdr:colOff>201706</xdr:colOff>
      <xdr:row>26</xdr:row>
      <xdr:rowOff>0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63A815CF-6902-0F01-860B-EE417751B90F}"/>
            </a:ext>
          </a:extLst>
        </xdr:cNvPr>
        <xdr:cNvSpPr txBox="1"/>
      </xdr:nvSpPr>
      <xdr:spPr>
        <a:xfrm>
          <a:off x="5241551" y="5536265"/>
          <a:ext cx="3241302" cy="582147"/>
        </a:xfrm>
        <a:prstGeom prst="rect">
          <a:avLst/>
        </a:prstGeom>
        <a:solidFill>
          <a:schemeClr val="lt1"/>
        </a:solidFill>
        <a:ln w="2857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2.</a:t>
          </a:r>
          <a:r>
            <a:rPr kumimoji="1" lang="ja-JP" altLang="en-US" sz="1100" b="1"/>
            <a:t>必ず</a:t>
          </a:r>
          <a:r>
            <a:rPr kumimoji="1" lang="ja-JP" altLang="en-US" sz="1100" b="1">
              <a:solidFill>
                <a:srgbClr val="FF0000"/>
              </a:solidFill>
            </a:rPr>
            <a:t>入力データ番号</a:t>
          </a:r>
          <a:r>
            <a:rPr kumimoji="1" lang="en-US" altLang="ja-JP" sz="1100"/>
            <a:t>,</a:t>
          </a:r>
          <a:r>
            <a:rPr kumimoji="1" lang="ja-JP" altLang="en-US" sz="1100" b="1">
              <a:solidFill>
                <a:srgbClr val="00B0F0"/>
              </a:solidFill>
            </a:rPr>
            <a:t>シーン内容</a:t>
          </a:r>
          <a:r>
            <a:rPr kumimoji="1" lang="en-US" altLang="ja-JP" sz="1100"/>
            <a:t>,</a:t>
          </a:r>
          <a:r>
            <a:rPr kumimoji="1" lang="en-US" altLang="ja-JP" sz="1100" b="1">
              <a:solidFill>
                <a:srgbClr val="002060"/>
              </a:solidFill>
            </a:rPr>
            <a:t>CSV</a:t>
          </a:r>
          <a:r>
            <a:rPr kumimoji="1" lang="ja-JP" altLang="en-US" sz="1100" b="1">
              <a:solidFill>
                <a:srgbClr val="002060"/>
              </a:solidFill>
            </a:rPr>
            <a:t>入力データ</a:t>
          </a:r>
          <a:r>
            <a:rPr kumimoji="1" lang="en-US" altLang="ja-JP" sz="1100"/>
            <a:t>, </a:t>
          </a:r>
          <a:r>
            <a:rPr kumimoji="1" lang="ja-JP" altLang="en-US" sz="1100" b="1">
              <a:solidFill>
                <a:srgbClr val="C00000"/>
              </a:solidFill>
            </a:rPr>
            <a:t>入力項目</a:t>
          </a:r>
          <a:r>
            <a:rPr kumimoji="1" lang="ja-JP" altLang="en-US" sz="1100" b="1"/>
            <a:t>は入力すること！</a:t>
          </a:r>
        </a:p>
      </xdr:txBody>
    </xdr:sp>
    <xdr:clientData/>
  </xdr:twoCellAnchor>
  <xdr:twoCellAnchor>
    <xdr:from>
      <xdr:col>9</xdr:col>
      <xdr:colOff>560294</xdr:colOff>
      <xdr:row>20</xdr:row>
      <xdr:rowOff>22411</xdr:rowOff>
    </xdr:from>
    <xdr:to>
      <xdr:col>11</xdr:col>
      <xdr:colOff>347383</xdr:colOff>
      <xdr:row>23</xdr:row>
      <xdr:rowOff>33617</xdr:rowOff>
    </xdr:to>
    <xdr:sp macro="" textlink="">
      <xdr:nvSpPr>
        <xdr:cNvPr id="18" name="楕円 17">
          <a:extLst>
            <a:ext uri="{FF2B5EF4-FFF2-40B4-BE49-F238E27FC236}">
              <a16:creationId xmlns:a16="http://schemas.microsoft.com/office/drawing/2014/main" id="{01ED2878-C5F7-7043-9221-F8F86BEA670F}"/>
            </a:ext>
          </a:extLst>
        </xdr:cNvPr>
        <xdr:cNvSpPr/>
      </xdr:nvSpPr>
      <xdr:spPr>
        <a:xfrm>
          <a:off x="6790765" y="4728882"/>
          <a:ext cx="1154206" cy="717176"/>
        </a:xfrm>
        <a:prstGeom prst="ellipse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67236</xdr:colOff>
      <xdr:row>19</xdr:row>
      <xdr:rowOff>224117</xdr:rowOff>
    </xdr:from>
    <xdr:to>
      <xdr:col>18</xdr:col>
      <xdr:colOff>123264</xdr:colOff>
      <xdr:row>26</xdr:row>
      <xdr:rowOff>159682</xdr:rowOff>
    </xdr:to>
    <xdr:pic>
      <xdr:nvPicPr>
        <xdr:cNvPr id="20" name="図 18">
          <a:extLst>
            <a:ext uri="{FF2B5EF4-FFF2-40B4-BE49-F238E27FC236}">
              <a16:creationId xmlns:a16="http://schemas.microsoft.com/office/drawing/2014/main" id="{946F5E38-64C5-AA0F-FA48-4AD420A465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3230" t="-510" r="11090" b="27375"/>
        <a:stretch/>
      </xdr:blipFill>
      <xdr:spPr>
        <a:xfrm>
          <a:off x="9031942" y="4695264"/>
          <a:ext cx="3473822" cy="1582830"/>
        </a:xfrm>
        <a:prstGeom prst="rect">
          <a:avLst/>
        </a:prstGeom>
      </xdr:spPr>
    </xdr:pic>
    <xdr:clientData/>
  </xdr:twoCellAnchor>
  <xdr:twoCellAnchor>
    <xdr:from>
      <xdr:col>14</xdr:col>
      <xdr:colOff>156882</xdr:colOff>
      <xdr:row>20</xdr:row>
      <xdr:rowOff>78441</xdr:rowOff>
    </xdr:from>
    <xdr:to>
      <xdr:col>15</xdr:col>
      <xdr:colOff>627529</xdr:colOff>
      <xdr:row>22</xdr:row>
      <xdr:rowOff>224117</xdr:rowOff>
    </xdr:to>
    <xdr:sp macro="" textlink="">
      <xdr:nvSpPr>
        <xdr:cNvPr id="24" name="楕円 19">
          <a:extLst>
            <a:ext uri="{FF2B5EF4-FFF2-40B4-BE49-F238E27FC236}">
              <a16:creationId xmlns:a16="http://schemas.microsoft.com/office/drawing/2014/main" id="{FE08E867-3728-8B75-670A-0C5F7A13711C}"/>
            </a:ext>
          </a:extLst>
        </xdr:cNvPr>
        <xdr:cNvSpPr/>
      </xdr:nvSpPr>
      <xdr:spPr>
        <a:xfrm>
          <a:off x="9805147" y="4784912"/>
          <a:ext cx="1154206" cy="616323"/>
        </a:xfrm>
        <a:prstGeom prst="ellipse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560294</xdr:colOff>
      <xdr:row>24</xdr:row>
      <xdr:rowOff>168090</xdr:rowOff>
    </xdr:from>
    <xdr:to>
      <xdr:col>19</xdr:col>
      <xdr:colOff>78441</xdr:colOff>
      <xdr:row>27</xdr:row>
      <xdr:rowOff>67237</xdr:rowOff>
    </xdr:to>
    <xdr:sp macro="" textlink="">
      <xdr:nvSpPr>
        <xdr:cNvPr id="318" name="テキスト ボックス 21">
          <a:extLst>
            <a:ext uri="{FF2B5EF4-FFF2-40B4-BE49-F238E27FC236}">
              <a16:creationId xmlns:a16="http://schemas.microsoft.com/office/drawing/2014/main" id="{AC0F1DC9-6239-F511-5956-30F63119E117}"/>
            </a:ext>
          </a:extLst>
        </xdr:cNvPr>
        <xdr:cNvSpPr txBox="1"/>
      </xdr:nvSpPr>
      <xdr:spPr>
        <a:xfrm>
          <a:off x="10208559" y="5815855"/>
          <a:ext cx="2935941" cy="605117"/>
        </a:xfrm>
        <a:prstGeom prst="rect">
          <a:avLst/>
        </a:prstGeom>
        <a:solidFill>
          <a:schemeClr val="lt1"/>
        </a:solidFill>
        <a:ln w="2857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3."</a:t>
          </a:r>
          <a:r>
            <a:rPr kumimoji="1" lang="ja-JP" altLang="en-US" sz="1100" b="1"/>
            <a:t>シーン情報用シート</a:t>
          </a:r>
          <a:r>
            <a:rPr kumimoji="1" lang="en-US" altLang="ja-JP" sz="1100" b="1"/>
            <a:t>"</a:t>
          </a:r>
          <a:r>
            <a:rPr kumimoji="1" lang="ja-JP" altLang="en-US" sz="1100" b="1"/>
            <a:t>と</a:t>
          </a:r>
          <a:r>
            <a:rPr kumimoji="1" lang="ja-JP" altLang="en-US" sz="1100" b="1">
              <a:solidFill>
                <a:srgbClr val="FF0000"/>
              </a:solidFill>
            </a:rPr>
            <a:t>同じ順</a:t>
          </a:r>
          <a:r>
            <a:rPr kumimoji="1" lang="ja-JP" altLang="en-US" sz="1100" b="1"/>
            <a:t>で追加記入</a:t>
          </a:r>
          <a:endParaRPr kumimoji="1" lang="en-US" altLang="ja-JP" sz="1100" b="1"/>
        </a:p>
        <a:p>
          <a:r>
            <a:rPr kumimoji="1" lang="ja-JP" altLang="en-US" sz="1100" b="1"/>
            <a:t>シーン内容に合う入力データ番号を記入</a:t>
          </a:r>
          <a:endParaRPr kumimoji="1" lang="en-US" altLang="ja-JP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E014D-6A68-42DF-BFFC-98321C3D0BC5}">
  <sheetPr codeName="Sheet5"/>
  <dimension ref="B2:C34"/>
  <sheetViews>
    <sheetView tabSelected="1" topLeftCell="A22" zoomScale="85" zoomScaleNormal="85" workbookViewId="0">
      <selection activeCell="K44" sqref="K44"/>
    </sheetView>
  </sheetViews>
  <sheetFormatPr defaultRowHeight="18.75" x14ac:dyDescent="0.4"/>
  <cols>
    <col min="2" max="2" width="10" customWidth="1"/>
  </cols>
  <sheetData>
    <row r="2" spans="2:3" x14ac:dyDescent="0.4">
      <c r="B2" t="s">
        <v>74</v>
      </c>
    </row>
    <row r="3" spans="2:3" x14ac:dyDescent="0.4">
      <c r="B3" t="s">
        <v>83</v>
      </c>
    </row>
    <row r="5" spans="2:3" x14ac:dyDescent="0.4">
      <c r="B5" t="s">
        <v>71</v>
      </c>
      <c r="C5" t="s">
        <v>72</v>
      </c>
    </row>
    <row r="6" spans="2:3" x14ac:dyDescent="0.4">
      <c r="C6" t="s">
        <v>73</v>
      </c>
    </row>
    <row r="7" spans="2:3" x14ac:dyDescent="0.4">
      <c r="C7" s="23" t="s">
        <v>75</v>
      </c>
    </row>
    <row r="8" spans="2:3" x14ac:dyDescent="0.4">
      <c r="C8" s="23" t="s">
        <v>76</v>
      </c>
    </row>
    <row r="9" spans="2:3" x14ac:dyDescent="0.4">
      <c r="C9" s="23" t="s">
        <v>95</v>
      </c>
    </row>
    <row r="10" spans="2:3" x14ac:dyDescent="0.4">
      <c r="B10" t="s">
        <v>77</v>
      </c>
      <c r="C10" s="23" t="s">
        <v>96</v>
      </c>
    </row>
    <row r="12" spans="2:3" x14ac:dyDescent="0.4">
      <c r="C12" t="s">
        <v>90</v>
      </c>
    </row>
    <row r="13" spans="2:3" x14ac:dyDescent="0.4">
      <c r="C13" t="s">
        <v>89</v>
      </c>
    </row>
    <row r="15" spans="2:3" x14ac:dyDescent="0.4">
      <c r="B15" t="s">
        <v>69</v>
      </c>
      <c r="C15" t="s">
        <v>70</v>
      </c>
    </row>
    <row r="16" spans="2:3" x14ac:dyDescent="0.4">
      <c r="C16" t="s">
        <v>79</v>
      </c>
    </row>
    <row r="17" spans="2:3" x14ac:dyDescent="0.4">
      <c r="C17" s="24" t="s">
        <v>81</v>
      </c>
    </row>
    <row r="18" spans="2:3" x14ac:dyDescent="0.4">
      <c r="C18" s="24" t="s">
        <v>82</v>
      </c>
    </row>
    <row r="19" spans="2:3" x14ac:dyDescent="0.4">
      <c r="C19" s="25" t="s">
        <v>78</v>
      </c>
    </row>
    <row r="20" spans="2:3" x14ac:dyDescent="0.4">
      <c r="C20" s="24" t="s">
        <v>80</v>
      </c>
    </row>
    <row r="21" spans="2:3" x14ac:dyDescent="0.4">
      <c r="C21" s="24"/>
    </row>
    <row r="22" spans="2:3" x14ac:dyDescent="0.4">
      <c r="C22" s="24"/>
    </row>
    <row r="23" spans="2:3" x14ac:dyDescent="0.4">
      <c r="C23" s="24"/>
    </row>
    <row r="24" spans="2:3" x14ac:dyDescent="0.4">
      <c r="C24" s="24"/>
    </row>
    <row r="25" spans="2:3" x14ac:dyDescent="0.4">
      <c r="C25" s="24"/>
    </row>
    <row r="26" spans="2:3" x14ac:dyDescent="0.4">
      <c r="C26" s="24"/>
    </row>
    <row r="27" spans="2:3" x14ac:dyDescent="0.4">
      <c r="C27" s="24"/>
    </row>
    <row r="28" spans="2:3" x14ac:dyDescent="0.4">
      <c r="C28" s="24"/>
    </row>
    <row r="29" spans="2:3" x14ac:dyDescent="0.4">
      <c r="C29" s="24" t="s">
        <v>84</v>
      </c>
    </row>
    <row r="30" spans="2:3" x14ac:dyDescent="0.4">
      <c r="C30" s="24" t="s">
        <v>85</v>
      </c>
    </row>
    <row r="31" spans="2:3" x14ac:dyDescent="0.4">
      <c r="C31" s="24"/>
    </row>
    <row r="32" spans="2:3" x14ac:dyDescent="0.4">
      <c r="B32" t="s">
        <v>86</v>
      </c>
    </row>
    <row r="33" spans="3:3" x14ac:dyDescent="0.4">
      <c r="C33" t="s">
        <v>87</v>
      </c>
    </row>
    <row r="34" spans="3:3" x14ac:dyDescent="0.4">
      <c r="C34" t="s">
        <v>88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19A67-B6FB-4226-8DD0-145D15831A6B}">
  <sheetPr codeName="Sheet1"/>
  <dimension ref="A1:BP5"/>
  <sheetViews>
    <sheetView zoomScale="112" zoomScaleNormal="115" workbookViewId="0">
      <pane xSplit="1" ySplit="3" topLeftCell="AU4" activePane="bottomRight" state="frozen"/>
      <selection pane="topRight" activeCell="B1" sqref="B1"/>
      <selection pane="bottomLeft" activeCell="A4" sqref="A4"/>
      <selection pane="bottomRight" activeCell="C8" sqref="C8"/>
    </sheetView>
  </sheetViews>
  <sheetFormatPr defaultRowHeight="18.75" x14ac:dyDescent="0.4"/>
  <cols>
    <col min="1" max="1" width="11" bestFit="1" customWidth="1"/>
    <col min="3" max="3" width="19.25" bestFit="1" customWidth="1"/>
    <col min="4" max="6" width="5.125" customWidth="1"/>
    <col min="7" max="7" width="5.25" bestFit="1" customWidth="1"/>
    <col min="9" max="9" width="11" bestFit="1" customWidth="1"/>
    <col min="10" max="11" width="4.25" customWidth="1"/>
    <col min="13" max="14" width="11" bestFit="1" customWidth="1"/>
    <col min="15" max="16" width="13.375" customWidth="1"/>
    <col min="17" max="20" width="4.25" customWidth="1"/>
    <col min="21" max="21" width="9" customWidth="1"/>
    <col min="24" max="26" width="4.375" customWidth="1"/>
    <col min="27" max="29" width="3.5" bestFit="1" customWidth="1"/>
    <col min="30" max="32" width="4.375" customWidth="1"/>
    <col min="33" max="35" width="3.5" bestFit="1" customWidth="1"/>
    <col min="36" max="36" width="13" bestFit="1" customWidth="1"/>
    <col min="38" max="38" width="13" bestFit="1" customWidth="1"/>
    <col min="39" max="40" width="4.25" customWidth="1"/>
    <col min="41" max="41" width="5.25" bestFit="1" customWidth="1"/>
    <col min="42" max="43" width="4.25" customWidth="1"/>
    <col min="45" max="46" width="13.375" customWidth="1"/>
    <col min="47" max="50" width="4.25" customWidth="1"/>
    <col min="54" max="56" width="4.375" customWidth="1"/>
    <col min="57" max="59" width="3.5" bestFit="1" customWidth="1"/>
    <col min="60" max="62" width="4.375" customWidth="1"/>
    <col min="63" max="65" width="3.5" bestFit="1" customWidth="1"/>
    <col min="66" max="66" width="13" bestFit="1" customWidth="1"/>
    <col min="68" max="68" width="13" bestFit="1" customWidth="1"/>
  </cols>
  <sheetData>
    <row r="1" spans="1:68" x14ac:dyDescent="0.4">
      <c r="A1" s="35" t="s">
        <v>0</v>
      </c>
      <c r="B1" s="38" t="s">
        <v>1</v>
      </c>
      <c r="C1" s="38" t="s">
        <v>2</v>
      </c>
      <c r="D1" s="37" t="s">
        <v>3</v>
      </c>
      <c r="E1" s="37"/>
      <c r="F1" s="37"/>
      <c r="G1" s="38" t="s">
        <v>4</v>
      </c>
      <c r="H1" s="38" t="s">
        <v>5</v>
      </c>
      <c r="I1" s="38" t="s">
        <v>6</v>
      </c>
      <c r="J1" s="37" t="s">
        <v>7</v>
      </c>
      <c r="K1" s="37"/>
      <c r="L1" s="38" t="s">
        <v>8</v>
      </c>
      <c r="M1" s="38" t="s">
        <v>9</v>
      </c>
      <c r="N1" s="38" t="s">
        <v>10</v>
      </c>
      <c r="O1" s="26" t="s">
        <v>93</v>
      </c>
      <c r="P1" s="26" t="s">
        <v>94</v>
      </c>
      <c r="Q1" s="28" t="s">
        <v>11</v>
      </c>
      <c r="R1" s="28"/>
      <c r="S1" s="28" t="s">
        <v>7</v>
      </c>
      <c r="T1" s="28"/>
      <c r="U1" s="26" t="s">
        <v>12</v>
      </c>
      <c r="V1" s="28" t="s">
        <v>13</v>
      </c>
      <c r="W1" s="26" t="s">
        <v>14</v>
      </c>
      <c r="X1" s="28" t="s">
        <v>15</v>
      </c>
      <c r="Y1" s="28"/>
      <c r="Z1" s="28"/>
      <c r="AA1" s="28" t="s">
        <v>16</v>
      </c>
      <c r="AB1" s="28"/>
      <c r="AC1" s="28"/>
      <c r="AD1" s="28" t="s">
        <v>17</v>
      </c>
      <c r="AE1" s="28"/>
      <c r="AF1" s="28"/>
      <c r="AG1" s="28" t="s">
        <v>18</v>
      </c>
      <c r="AH1" s="28"/>
      <c r="AI1" s="28"/>
      <c r="AJ1" s="26" t="s">
        <v>19</v>
      </c>
      <c r="AK1" s="26" t="s">
        <v>20</v>
      </c>
      <c r="AL1" s="26" t="s">
        <v>21</v>
      </c>
      <c r="AM1" s="30" t="s">
        <v>22</v>
      </c>
      <c r="AN1" s="31"/>
      <c r="AO1" s="32"/>
      <c r="AP1" s="29" t="s">
        <v>23</v>
      </c>
      <c r="AQ1" s="29"/>
      <c r="AR1" s="33" t="s">
        <v>24</v>
      </c>
      <c r="AS1" s="26" t="s">
        <v>91</v>
      </c>
      <c r="AT1" s="26" t="s">
        <v>92</v>
      </c>
      <c r="AU1" s="28" t="s">
        <v>11</v>
      </c>
      <c r="AV1" s="28"/>
      <c r="AW1" s="28" t="s">
        <v>7</v>
      </c>
      <c r="AX1" s="28"/>
      <c r="AY1" s="26" t="s">
        <v>12</v>
      </c>
      <c r="AZ1" s="28" t="s">
        <v>13</v>
      </c>
      <c r="BA1" s="26" t="s">
        <v>14</v>
      </c>
      <c r="BB1" s="28" t="s">
        <v>15</v>
      </c>
      <c r="BC1" s="28"/>
      <c r="BD1" s="28"/>
      <c r="BE1" s="28" t="s">
        <v>16</v>
      </c>
      <c r="BF1" s="28"/>
      <c r="BG1" s="28"/>
      <c r="BH1" s="28" t="s">
        <v>17</v>
      </c>
      <c r="BI1" s="28"/>
      <c r="BJ1" s="28"/>
      <c r="BK1" s="28" t="s">
        <v>18</v>
      </c>
      <c r="BL1" s="28"/>
      <c r="BM1" s="28"/>
      <c r="BN1" s="26" t="s">
        <v>19</v>
      </c>
      <c r="BO1" s="26" t="s">
        <v>20</v>
      </c>
      <c r="BP1" s="26" t="s">
        <v>21</v>
      </c>
    </row>
    <row r="2" spans="1:68" x14ac:dyDescent="0.4">
      <c r="A2" s="36"/>
      <c r="B2" s="39"/>
      <c r="C2" s="39"/>
      <c r="D2" s="2" t="s">
        <v>25</v>
      </c>
      <c r="E2" s="2" t="s">
        <v>26</v>
      </c>
      <c r="F2" s="2" t="s">
        <v>27</v>
      </c>
      <c r="G2" s="39"/>
      <c r="H2" s="39"/>
      <c r="I2" s="39"/>
      <c r="J2" s="8" t="s">
        <v>28</v>
      </c>
      <c r="K2" s="8" t="s">
        <v>29</v>
      </c>
      <c r="L2" s="39"/>
      <c r="M2" s="39"/>
      <c r="N2" s="39"/>
      <c r="O2" s="27"/>
      <c r="P2" s="27"/>
      <c r="Q2" s="5" t="s">
        <v>28</v>
      </c>
      <c r="R2" s="5" t="s">
        <v>29</v>
      </c>
      <c r="S2" s="3" t="s">
        <v>28</v>
      </c>
      <c r="T2" s="3" t="s">
        <v>29</v>
      </c>
      <c r="U2" s="27"/>
      <c r="V2" s="28"/>
      <c r="W2" s="27"/>
      <c r="X2" s="5" t="s">
        <v>30</v>
      </c>
      <c r="Y2" s="5" t="s">
        <v>31</v>
      </c>
      <c r="Z2" s="5" t="s">
        <v>32</v>
      </c>
      <c r="AA2" s="3" t="s">
        <v>30</v>
      </c>
      <c r="AB2" s="3" t="s">
        <v>31</v>
      </c>
      <c r="AC2" s="3" t="s">
        <v>32</v>
      </c>
      <c r="AD2" s="3" t="s">
        <v>33</v>
      </c>
      <c r="AE2" s="3" t="s">
        <v>34</v>
      </c>
      <c r="AF2" s="3" t="s">
        <v>35</v>
      </c>
      <c r="AG2" s="3" t="s">
        <v>33</v>
      </c>
      <c r="AH2" s="3" t="s">
        <v>34</v>
      </c>
      <c r="AI2" s="3" t="s">
        <v>35</v>
      </c>
      <c r="AJ2" s="27"/>
      <c r="AK2" s="27"/>
      <c r="AL2" s="27"/>
      <c r="AM2" s="4" t="s">
        <v>28</v>
      </c>
      <c r="AN2" s="4" t="s">
        <v>29</v>
      </c>
      <c r="AO2" s="4" t="s">
        <v>36</v>
      </c>
      <c r="AP2" s="4" t="s">
        <v>28</v>
      </c>
      <c r="AQ2" s="4" t="s">
        <v>29</v>
      </c>
      <c r="AR2" s="34"/>
      <c r="AS2" s="27"/>
      <c r="AT2" s="27"/>
      <c r="AU2" s="22" t="s">
        <v>28</v>
      </c>
      <c r="AV2" s="22" t="s">
        <v>29</v>
      </c>
      <c r="AW2" s="3" t="s">
        <v>28</v>
      </c>
      <c r="AX2" s="3" t="s">
        <v>29</v>
      </c>
      <c r="AY2" s="27"/>
      <c r="AZ2" s="28"/>
      <c r="BA2" s="27"/>
      <c r="BB2" s="22" t="s">
        <v>30</v>
      </c>
      <c r="BC2" s="22" t="s">
        <v>31</v>
      </c>
      <c r="BD2" s="22" t="s">
        <v>32</v>
      </c>
      <c r="BE2" s="3" t="s">
        <v>30</v>
      </c>
      <c r="BF2" s="3" t="s">
        <v>31</v>
      </c>
      <c r="BG2" s="3" t="s">
        <v>32</v>
      </c>
      <c r="BH2" s="3" t="s">
        <v>33</v>
      </c>
      <c r="BI2" s="3" t="s">
        <v>34</v>
      </c>
      <c r="BJ2" s="3" t="s">
        <v>35</v>
      </c>
      <c r="BK2" s="3" t="s">
        <v>33</v>
      </c>
      <c r="BL2" s="3" t="s">
        <v>34</v>
      </c>
      <c r="BM2" s="3" t="s">
        <v>35</v>
      </c>
      <c r="BN2" s="27"/>
      <c r="BO2" s="27"/>
      <c r="BP2" s="27"/>
    </row>
    <row r="3" spans="1:68" ht="17.25" customHeight="1" x14ac:dyDescent="0.4">
      <c r="A3" s="9">
        <v>2</v>
      </c>
      <c r="B3" s="9" t="s">
        <v>37</v>
      </c>
      <c r="C3" s="9" t="s">
        <v>37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f>S3</f>
        <v>0</v>
      </c>
      <c r="K3" s="9">
        <f>T3</f>
        <v>0</v>
      </c>
      <c r="L3" s="9" t="s">
        <v>37</v>
      </c>
      <c r="M3" s="9">
        <v>0</v>
      </c>
      <c r="N3" s="9">
        <v>0</v>
      </c>
      <c r="O3" s="9" t="s">
        <v>37</v>
      </c>
      <c r="P3" s="9" t="s">
        <v>37</v>
      </c>
      <c r="Q3" s="9" t="s">
        <v>37</v>
      </c>
      <c r="R3" s="9" t="s">
        <v>37</v>
      </c>
      <c r="S3" s="9">
        <v>0</v>
      </c>
      <c r="T3" s="9">
        <v>0</v>
      </c>
      <c r="U3" s="9" t="s">
        <v>37</v>
      </c>
      <c r="V3" s="9">
        <v>0</v>
      </c>
      <c r="W3" s="9" t="s">
        <v>37</v>
      </c>
      <c r="X3" s="9" t="s">
        <v>37</v>
      </c>
      <c r="Y3" s="9" t="s">
        <v>37</v>
      </c>
      <c r="Z3" s="9" t="s">
        <v>37</v>
      </c>
      <c r="AA3" s="9">
        <v>0</v>
      </c>
      <c r="AB3" s="9">
        <v>0</v>
      </c>
      <c r="AC3" s="9">
        <v>0</v>
      </c>
      <c r="AD3" s="9" t="s">
        <v>37</v>
      </c>
      <c r="AE3" s="9" t="s">
        <v>37</v>
      </c>
      <c r="AF3" s="9" t="s">
        <v>37</v>
      </c>
      <c r="AG3" s="9">
        <v>0</v>
      </c>
      <c r="AH3" s="9">
        <v>0</v>
      </c>
      <c r="AI3" s="9">
        <v>0</v>
      </c>
      <c r="AJ3" s="9" t="s">
        <v>37</v>
      </c>
      <c r="AK3" s="9">
        <v>0</v>
      </c>
      <c r="AL3" s="9" t="s">
        <v>37</v>
      </c>
      <c r="AM3" s="9" t="s">
        <v>37</v>
      </c>
      <c r="AN3" s="9" t="s">
        <v>37</v>
      </c>
      <c r="AO3" s="9" t="s">
        <v>37</v>
      </c>
      <c r="AP3" s="9">
        <v>0</v>
      </c>
      <c r="AQ3" s="9">
        <v>0</v>
      </c>
      <c r="AR3" s="9">
        <v>0</v>
      </c>
      <c r="AS3" s="9" t="s">
        <v>37</v>
      </c>
      <c r="AT3" s="9" t="s">
        <v>37</v>
      </c>
      <c r="AU3" s="9" t="s">
        <v>37</v>
      </c>
      <c r="AV3" s="9" t="s">
        <v>37</v>
      </c>
      <c r="AW3" s="9">
        <v>0</v>
      </c>
      <c r="AX3" s="9">
        <v>0</v>
      </c>
      <c r="AY3" s="9" t="s">
        <v>37</v>
      </c>
      <c r="AZ3" s="9">
        <v>0</v>
      </c>
      <c r="BA3" s="9" t="s">
        <v>37</v>
      </c>
      <c r="BB3" s="9" t="s">
        <v>37</v>
      </c>
      <c r="BC3" s="9" t="s">
        <v>37</v>
      </c>
      <c r="BD3" s="9" t="s">
        <v>37</v>
      </c>
      <c r="BE3" s="9">
        <v>0</v>
      </c>
      <c r="BF3" s="9">
        <v>0</v>
      </c>
      <c r="BG3" s="9">
        <v>0</v>
      </c>
      <c r="BH3" s="9" t="s">
        <v>37</v>
      </c>
      <c r="BI3" s="9" t="s">
        <v>37</v>
      </c>
      <c r="BJ3" s="9" t="s">
        <v>37</v>
      </c>
      <c r="BK3" s="9">
        <v>0</v>
      </c>
      <c r="BL3" s="9">
        <v>0</v>
      </c>
      <c r="BM3" s="9">
        <v>0</v>
      </c>
      <c r="BN3" s="9" t="s">
        <v>37</v>
      </c>
      <c r="BO3" s="9">
        <v>0</v>
      </c>
      <c r="BP3" s="9" t="s">
        <v>37</v>
      </c>
    </row>
    <row r="4" spans="1:68" ht="17.25" customHeight="1" x14ac:dyDescent="0.4">
      <c r="A4" s="9">
        <v>1</v>
      </c>
      <c r="B4" s="9" t="s">
        <v>37</v>
      </c>
      <c r="C4" s="9" t="s">
        <v>37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f>S4</f>
        <v>0</v>
      </c>
      <c r="K4" s="9">
        <f>T4</f>
        <v>0</v>
      </c>
      <c r="L4" s="9" t="s">
        <v>37</v>
      </c>
      <c r="M4" s="9">
        <v>0</v>
      </c>
      <c r="N4" s="9">
        <v>0</v>
      </c>
      <c r="O4" s="9" t="s">
        <v>37</v>
      </c>
      <c r="P4" s="9" t="s">
        <v>37</v>
      </c>
      <c r="Q4" s="9" t="s">
        <v>37</v>
      </c>
      <c r="R4" s="9" t="s">
        <v>37</v>
      </c>
      <c r="S4" s="9">
        <v>0</v>
      </c>
      <c r="T4" s="9">
        <v>0</v>
      </c>
      <c r="U4" s="9" t="s">
        <v>37</v>
      </c>
      <c r="V4" s="9">
        <v>0</v>
      </c>
      <c r="W4" s="9" t="s">
        <v>37</v>
      </c>
      <c r="X4" s="9" t="s">
        <v>37</v>
      </c>
      <c r="Y4" s="9" t="s">
        <v>37</v>
      </c>
      <c r="Z4" s="9" t="s">
        <v>37</v>
      </c>
      <c r="AA4" s="9">
        <v>0</v>
      </c>
      <c r="AB4" s="9">
        <v>0</v>
      </c>
      <c r="AC4" s="9">
        <v>0</v>
      </c>
      <c r="AD4" s="9" t="s">
        <v>37</v>
      </c>
      <c r="AE4" s="9" t="s">
        <v>37</v>
      </c>
      <c r="AF4" s="9" t="s">
        <v>37</v>
      </c>
      <c r="AG4" s="9">
        <v>0</v>
      </c>
      <c r="AH4" s="9">
        <v>0</v>
      </c>
      <c r="AI4" s="9">
        <v>0</v>
      </c>
      <c r="AJ4" s="9" t="s">
        <v>37</v>
      </c>
      <c r="AK4" s="9">
        <v>0</v>
      </c>
      <c r="AL4" s="9" t="s">
        <v>37</v>
      </c>
      <c r="AM4" s="9" t="s">
        <v>37</v>
      </c>
      <c r="AN4" s="9" t="s">
        <v>37</v>
      </c>
      <c r="AO4" s="9" t="s">
        <v>37</v>
      </c>
      <c r="AP4" s="9">
        <v>0</v>
      </c>
      <c r="AQ4" s="9">
        <v>0</v>
      </c>
      <c r="AR4" s="9">
        <v>0</v>
      </c>
      <c r="AS4" s="9" t="s">
        <v>37</v>
      </c>
      <c r="AT4" s="9" t="s">
        <v>37</v>
      </c>
      <c r="AU4" s="9" t="s">
        <v>37</v>
      </c>
      <c r="AV4" s="9" t="s">
        <v>37</v>
      </c>
      <c r="AW4" s="9">
        <v>0</v>
      </c>
      <c r="AX4" s="9">
        <v>0</v>
      </c>
      <c r="AY4" s="9" t="s">
        <v>37</v>
      </c>
      <c r="AZ4" s="9">
        <v>0</v>
      </c>
      <c r="BA4" s="9" t="s">
        <v>37</v>
      </c>
      <c r="BB4" s="9" t="s">
        <v>37</v>
      </c>
      <c r="BC4" s="9" t="s">
        <v>37</v>
      </c>
      <c r="BD4" s="9" t="s">
        <v>37</v>
      </c>
      <c r="BE4" s="9">
        <v>0</v>
      </c>
      <c r="BF4" s="9">
        <v>0</v>
      </c>
      <c r="BG4" s="9">
        <v>0</v>
      </c>
      <c r="BH4" s="9" t="s">
        <v>37</v>
      </c>
      <c r="BI4" s="9" t="s">
        <v>37</v>
      </c>
      <c r="BJ4" s="9" t="s">
        <v>37</v>
      </c>
      <c r="BK4" s="9">
        <v>0</v>
      </c>
      <c r="BL4" s="9">
        <v>0</v>
      </c>
      <c r="BM4" s="9">
        <v>0</v>
      </c>
      <c r="BN4" s="9" t="s">
        <v>37</v>
      </c>
      <c r="BO4" s="9">
        <v>0</v>
      </c>
      <c r="BP4" s="9" t="s">
        <v>37</v>
      </c>
    </row>
    <row r="5" spans="1:68" ht="17.25" customHeight="1" x14ac:dyDescent="0.4">
      <c r="A5" s="9">
        <v>2</v>
      </c>
      <c r="B5" s="9" t="s">
        <v>37</v>
      </c>
      <c r="C5" s="9" t="s">
        <v>37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f>S5</f>
        <v>0</v>
      </c>
      <c r="K5" s="9">
        <f>T5</f>
        <v>0</v>
      </c>
      <c r="L5" s="9" t="s">
        <v>37</v>
      </c>
      <c r="M5" s="9">
        <v>0</v>
      </c>
      <c r="N5" s="9">
        <v>0</v>
      </c>
      <c r="O5" s="9" t="s">
        <v>37</v>
      </c>
      <c r="P5" s="9" t="s">
        <v>37</v>
      </c>
      <c r="Q5" s="9" t="s">
        <v>37</v>
      </c>
      <c r="R5" s="9" t="s">
        <v>37</v>
      </c>
      <c r="S5" s="9">
        <v>0</v>
      </c>
      <c r="T5" s="9">
        <v>0</v>
      </c>
      <c r="U5" s="9" t="s">
        <v>37</v>
      </c>
      <c r="V5" s="9">
        <v>0</v>
      </c>
      <c r="W5" s="9" t="s">
        <v>37</v>
      </c>
      <c r="X5" s="9" t="s">
        <v>37</v>
      </c>
      <c r="Y5" s="9" t="s">
        <v>37</v>
      </c>
      <c r="Z5" s="9" t="s">
        <v>37</v>
      </c>
      <c r="AA5" s="9">
        <v>0</v>
      </c>
      <c r="AB5" s="9">
        <v>0</v>
      </c>
      <c r="AC5" s="9">
        <v>0</v>
      </c>
      <c r="AD5" s="9" t="s">
        <v>37</v>
      </c>
      <c r="AE5" s="9" t="s">
        <v>37</v>
      </c>
      <c r="AF5" s="9" t="s">
        <v>37</v>
      </c>
      <c r="AG5" s="9">
        <v>0</v>
      </c>
      <c r="AH5" s="9">
        <v>0</v>
      </c>
      <c r="AI5" s="9">
        <v>0</v>
      </c>
      <c r="AJ5" s="9" t="s">
        <v>37</v>
      </c>
      <c r="AK5" s="9">
        <v>0</v>
      </c>
      <c r="AL5" s="9" t="s">
        <v>37</v>
      </c>
      <c r="AM5" s="9" t="s">
        <v>37</v>
      </c>
      <c r="AN5" s="9" t="s">
        <v>37</v>
      </c>
      <c r="AO5" s="9" t="s">
        <v>37</v>
      </c>
      <c r="AP5" s="9">
        <v>0</v>
      </c>
      <c r="AQ5" s="9">
        <v>0</v>
      </c>
      <c r="AR5" s="9">
        <v>0</v>
      </c>
      <c r="AS5" s="9" t="s">
        <v>37</v>
      </c>
      <c r="AT5" s="9" t="s">
        <v>37</v>
      </c>
      <c r="AU5" s="9" t="s">
        <v>37</v>
      </c>
      <c r="AV5" s="9" t="s">
        <v>37</v>
      </c>
      <c r="AW5" s="9">
        <v>0</v>
      </c>
      <c r="AX5" s="9">
        <v>0</v>
      </c>
      <c r="AY5" s="9" t="s">
        <v>37</v>
      </c>
      <c r="AZ5" s="9">
        <v>0</v>
      </c>
      <c r="BA5" s="9" t="s">
        <v>37</v>
      </c>
      <c r="BB5" s="9" t="s">
        <v>37</v>
      </c>
      <c r="BC5" s="9" t="s">
        <v>37</v>
      </c>
      <c r="BD5" s="9" t="s">
        <v>37</v>
      </c>
      <c r="BE5" s="9">
        <v>0</v>
      </c>
      <c r="BF5" s="9">
        <v>0</v>
      </c>
      <c r="BG5" s="9">
        <v>0</v>
      </c>
      <c r="BH5" s="9" t="s">
        <v>37</v>
      </c>
      <c r="BI5" s="9" t="s">
        <v>37</v>
      </c>
      <c r="BJ5" s="9" t="s">
        <v>37</v>
      </c>
      <c r="BK5" s="9">
        <v>0</v>
      </c>
      <c r="BL5" s="9">
        <v>0</v>
      </c>
      <c r="BM5" s="9">
        <v>0</v>
      </c>
      <c r="BN5" s="9" t="s">
        <v>37</v>
      </c>
      <c r="BO5" s="9">
        <v>0</v>
      </c>
      <c r="BP5" s="9" t="s">
        <v>37</v>
      </c>
    </row>
  </sheetData>
  <mergeCells count="42">
    <mergeCell ref="BK1:BM1"/>
    <mergeCell ref="BN1:BN2"/>
    <mergeCell ref="BO1:BO2"/>
    <mergeCell ref="BP1:BP2"/>
    <mergeCell ref="AZ1:AZ2"/>
    <mergeCell ref="BA1:BA2"/>
    <mergeCell ref="BB1:BD1"/>
    <mergeCell ref="BE1:BG1"/>
    <mergeCell ref="BH1:BJ1"/>
    <mergeCell ref="AS1:AS2"/>
    <mergeCell ref="AT1:AT2"/>
    <mergeCell ref="AU1:AV1"/>
    <mergeCell ref="AW1:AX1"/>
    <mergeCell ref="AY1:AY2"/>
    <mergeCell ref="A1:A2"/>
    <mergeCell ref="J1:K1"/>
    <mergeCell ref="W1:W2"/>
    <mergeCell ref="I1:I2"/>
    <mergeCell ref="L1:L2"/>
    <mergeCell ref="M1:M2"/>
    <mergeCell ref="N1:N2"/>
    <mergeCell ref="B1:B2"/>
    <mergeCell ref="C1:C2"/>
    <mergeCell ref="D1:F1"/>
    <mergeCell ref="S1:T1"/>
    <mergeCell ref="O1:O2"/>
    <mergeCell ref="G1:G2"/>
    <mergeCell ref="H1:H2"/>
    <mergeCell ref="Q1:R1"/>
    <mergeCell ref="U1:U2"/>
    <mergeCell ref="AP1:AQ1"/>
    <mergeCell ref="AM1:AO1"/>
    <mergeCell ref="AR1:AR2"/>
    <mergeCell ref="AL1:AL2"/>
    <mergeCell ref="AJ1:AJ2"/>
    <mergeCell ref="AK1:AK2"/>
    <mergeCell ref="P1:P2"/>
    <mergeCell ref="AA1:AC1"/>
    <mergeCell ref="AG1:AI1"/>
    <mergeCell ref="V1:V2"/>
    <mergeCell ref="AD1:AF1"/>
    <mergeCell ref="X1:Z1"/>
  </mergeCells>
  <phoneticPr fontId="1"/>
  <dataValidations count="7">
    <dataValidation type="decimal" errorStyle="warning" allowBlank="1" showInputMessage="1" showErrorMessage="1" errorTitle="無効な値" error="入力値が無効な値なので、正しい処理をされない可能性があります。" sqref="D3:G5" xr:uid="{A9E649FD-BCF3-4A7F-8880-F3539E4F26A0}">
      <formula1>-9999.9</formula1>
      <formula2>9999.9</formula2>
    </dataValidation>
    <dataValidation type="decimal" allowBlank="1" showInputMessage="1" showErrorMessage="1" sqref="M3:N5 H3:H5" xr:uid="{BB0A3CAB-AD6B-48A6-A375-2B4462FFD723}">
      <formula1>-100</formula1>
      <formula2>100</formula2>
    </dataValidation>
    <dataValidation type="decimal" allowBlank="1" showInputMessage="1" showErrorMessage="1" sqref="I3:I5" xr:uid="{A708F388-C691-4C71-9DA1-137023C7EEF1}">
      <formula1>0</formula1>
      <formula2>99999</formula2>
    </dataValidation>
    <dataValidation type="decimal" allowBlank="1" showInputMessage="1" showErrorMessage="1" sqref="S3:T5 J3:K5 AW3:AX5 AP3:AQ5" xr:uid="{42B76FFF-0A80-427F-8072-2BD33F616AB3}">
      <formula1>-99999</formula1>
      <formula2>99999</formula2>
    </dataValidation>
    <dataValidation type="decimal" allowBlank="1" showInputMessage="1" showErrorMessage="1" sqref="AZ3:AZ5 V3:V5" xr:uid="{907E4353-672B-42C2-8E9D-893EF22B32E7}">
      <formula1>0</formula1>
      <formula2>255</formula2>
    </dataValidation>
    <dataValidation type="whole" allowBlank="1" showInputMessage="1" showErrorMessage="1" sqref="AA3:AC5 BK3:BM5 BE3:BG5 AG3:AI5" xr:uid="{51AC2B00-535A-4183-A893-9DFF1CD6B97B}">
      <formula1>0</formula1>
      <formula2>255</formula2>
    </dataValidation>
    <dataValidation type="decimal" allowBlank="1" showInputMessage="1" showErrorMessage="1" sqref="AK3:AK5 BO3:BO5 AR3:AR5" xr:uid="{BEEF7BD7-24A5-441B-937A-1DE7195C37AB}">
      <formula1>-360</formula1>
      <formula2>360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AC07EA4-43C3-4DFF-B113-266D55FFB1D5}">
          <x14:formula1>
            <xm:f>OFFSET(データシート!$G$2,0,0,COUNTA(データシート!$G:$G)-1,1)</xm:f>
          </x14:formula1>
          <xm:sqref>B3:B5</xm:sqref>
        </x14:dataValidation>
        <x14:dataValidation type="list" allowBlank="1" showInputMessage="1" showErrorMessage="1" xr:uid="{895C3F20-89CA-43F2-B1B6-0690CCB15E60}">
          <x14:formula1>
            <xm:f>OFFSET(データシート!$I$2,0,0,COUNTA(データシート!$I:$I)-1,1)</xm:f>
          </x14:formula1>
          <xm:sqref>C3:C5</xm:sqref>
        </x14:dataValidation>
        <x14:dataValidation type="list" allowBlank="1" showInputMessage="1" showErrorMessage="1" xr:uid="{68BE1754-C19D-48AD-8403-A0C2A757C00A}">
          <x14:formula1>
            <xm:f>OFFSET(データシート!$K$2,0,0,COUNTA(データシート!$K:$K)-1,1)</xm:f>
          </x14:formula1>
          <xm:sqref>L3:L5</xm:sqref>
        </x14:dataValidation>
        <x14:dataValidation type="list" allowBlank="1" showInputMessage="1" showErrorMessage="1" xr:uid="{ED855CC0-B4A5-45DF-A8E4-8FC3743CEBBE}">
          <x14:formula1>
            <xm:f>OFFSET(データシート!$M$2,0,0,COUNTA(データシート!$M:$M)-1,1)</xm:f>
          </x14:formula1>
          <xm:sqref>AS3:AT5 O3:P5</xm:sqref>
        </x14:dataValidation>
        <x14:dataValidation type="list" allowBlank="1" showInputMessage="1" showErrorMessage="1" xr:uid="{0CA69152-FC01-410B-B204-F840CC79E0EF}">
          <x14:formula1>
            <xm:f>OFFSET(データシート!$O$2,0,0,COUNTA(データシート!$O:$O)-1,1)</xm:f>
          </x14:formula1>
          <xm:sqref>Q3:R5 U3:U5 AJ3:AJ5 AD3:AF5 BB3:BD5 AU3:AV5 AY3:AY5 BN3:BN5 BH3:BJ5 X3:Z5</xm:sqref>
        </x14:dataValidation>
        <x14:dataValidation type="list" allowBlank="1" showInputMessage="1" showErrorMessage="1" xr:uid="{94CADA88-76DE-40AD-B90C-27AD64EB29BA}">
          <x14:formula1>
            <xm:f>OFFSET(データシート!$Q$2,0,0,COUNTA(データシート!$Q:$Q)-1,1)</xm:f>
          </x14:formula1>
          <xm:sqref>BP3:BP5 AL3:AL5</xm:sqref>
        </x14:dataValidation>
        <x14:dataValidation type="list" allowBlank="1" showInputMessage="1" showErrorMessage="1" xr:uid="{7DBD43B7-17B5-41B4-9864-E4C59F46A36C}">
          <x14:formula1>
            <xm:f>OFFSET(データシート!$S$2,0,0,COUNTA(データシート!$S:$S)-1,1)</xm:f>
          </x14:formula1>
          <xm:sqref>AM3:AO5</xm:sqref>
        </x14:dataValidation>
        <x14:dataValidation type="list" allowBlank="1" showInputMessage="1" showErrorMessage="1" xr:uid="{B7172A0D-61DC-428B-BEC6-57294EF8968A}">
          <x14:formula1>
            <xm:f>OFFSET(データシート!$U$2,0,0,COUNTA(データシート!$U:$U)-1,1)</xm:f>
          </x14:formula1>
          <xm:sqref>BA3:BA5 W3:W5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DFCE-71D4-4AA0-9492-5C3DCAA9201D}">
  <sheetPr codeName="Sheet2"/>
  <dimension ref="A1:U7"/>
  <sheetViews>
    <sheetView topLeftCell="B1" workbookViewId="0">
      <selection activeCell="U1" sqref="U1:U1048576"/>
    </sheetView>
  </sheetViews>
  <sheetFormatPr defaultRowHeight="18.75" x14ac:dyDescent="0.4"/>
  <cols>
    <col min="1" max="1" width="4.625" hidden="1" customWidth="1"/>
    <col min="2" max="2" width="15.125" customWidth="1"/>
    <col min="3" max="3" width="11" bestFit="1" customWidth="1"/>
    <col min="4" max="4" width="2.5" bestFit="1" customWidth="1"/>
    <col min="5" max="5" width="5.25" bestFit="1" customWidth="1"/>
    <col min="6" max="6" width="2.5" bestFit="1" customWidth="1"/>
    <col min="7" max="7" width="15.125" bestFit="1" customWidth="1"/>
    <col min="8" max="8" width="2.5" bestFit="1" customWidth="1"/>
    <col min="9" max="9" width="19.25" bestFit="1" customWidth="1"/>
    <col min="10" max="10" width="2.5" bestFit="1" customWidth="1"/>
    <col min="11" max="11" width="9" bestFit="1" customWidth="1"/>
    <col min="12" max="12" width="2.5" bestFit="1" customWidth="1"/>
    <col min="13" max="13" width="9" bestFit="1" customWidth="1"/>
    <col min="14" max="14" width="2.5" bestFit="1" customWidth="1"/>
    <col min="15" max="15" width="5.25" bestFit="1" customWidth="1"/>
    <col min="16" max="16" width="2.5" bestFit="1" customWidth="1"/>
    <col min="17" max="17" width="13" bestFit="1" customWidth="1"/>
    <col min="18" max="18" width="2.5" bestFit="1" customWidth="1"/>
    <col min="19" max="19" width="9" bestFit="1" customWidth="1"/>
    <col min="20" max="20" width="2.5" bestFit="1" customWidth="1"/>
    <col min="21" max="21" width="7.125" bestFit="1" customWidth="1"/>
    <col min="22" max="23" width="10.375" bestFit="1" customWidth="1"/>
    <col min="25" max="25" width="9" bestFit="1" customWidth="1"/>
    <col min="26" max="26" width="7.125" bestFit="1" customWidth="1"/>
    <col min="27" max="27" width="11" bestFit="1" customWidth="1"/>
    <col min="28" max="28" width="11.125" bestFit="1" customWidth="1"/>
    <col min="29" max="30" width="11" bestFit="1" customWidth="1"/>
    <col min="31" max="31" width="11.125" bestFit="1" customWidth="1"/>
    <col min="32" max="33" width="11" bestFit="1" customWidth="1"/>
    <col min="34" max="34" width="10.625" bestFit="1" customWidth="1"/>
    <col min="35" max="36" width="10.875" bestFit="1" customWidth="1"/>
    <col min="37" max="37" width="10.5" bestFit="1" customWidth="1"/>
    <col min="38" max="38" width="10.625" bestFit="1" customWidth="1"/>
    <col min="40" max="40" width="9" bestFit="1" customWidth="1"/>
    <col min="41" max="41" width="13" bestFit="1" customWidth="1"/>
    <col min="42" max="43" width="10.375" bestFit="1" customWidth="1"/>
    <col min="44" max="44" width="13.625" bestFit="1" customWidth="1"/>
    <col min="45" max="46" width="10.375" bestFit="1" customWidth="1"/>
  </cols>
  <sheetData>
    <row r="1" spans="1:21" x14ac:dyDescent="0.4">
      <c r="A1">
        <f>COUNTIF(シーン情報入力用シート!A:A,"&lt;&gt;")-2</f>
        <v>2</v>
      </c>
      <c r="B1" s="13" t="s">
        <v>40</v>
      </c>
      <c r="C1" s="7" t="s">
        <v>41</v>
      </c>
      <c r="D1" s="10">
        <v>0</v>
      </c>
      <c r="E1" s="7" t="s">
        <v>42</v>
      </c>
      <c r="F1" s="13">
        <v>1</v>
      </c>
      <c r="G1" s="7" t="s">
        <v>1</v>
      </c>
      <c r="H1" s="13">
        <v>2</v>
      </c>
      <c r="I1" s="7" t="s">
        <v>2</v>
      </c>
      <c r="J1" s="13">
        <v>3</v>
      </c>
      <c r="K1" s="18" t="s">
        <v>8</v>
      </c>
      <c r="L1" s="13">
        <v>4</v>
      </c>
      <c r="M1" s="7" t="s">
        <v>43</v>
      </c>
      <c r="N1" s="13">
        <v>5</v>
      </c>
      <c r="O1" s="7" t="s">
        <v>44</v>
      </c>
      <c r="P1" s="13">
        <v>6</v>
      </c>
      <c r="Q1" s="7" t="s">
        <v>45</v>
      </c>
      <c r="R1" s="13">
        <v>7</v>
      </c>
      <c r="S1" s="7" t="s">
        <v>46</v>
      </c>
      <c r="T1" s="13">
        <v>8</v>
      </c>
      <c r="U1" s="7" t="s">
        <v>14</v>
      </c>
    </row>
    <row r="2" spans="1:21" x14ac:dyDescent="0.4">
      <c r="A2">
        <f>COUNTA(シーン情報入力用シート!3:3)</f>
        <v>68</v>
      </c>
      <c r="B2" s="1" t="s">
        <v>47</v>
      </c>
      <c r="C2" s="1" t="s">
        <v>48</v>
      </c>
      <c r="D2" s="21" t="s">
        <v>49</v>
      </c>
      <c r="E2" s="1" t="s">
        <v>49</v>
      </c>
      <c r="F2" s="1">
        <v>0</v>
      </c>
      <c r="G2" s="1" t="s">
        <v>49</v>
      </c>
      <c r="H2" s="1">
        <v>0</v>
      </c>
      <c r="I2" s="1" t="s">
        <v>49</v>
      </c>
      <c r="J2" s="1">
        <v>0</v>
      </c>
      <c r="K2" s="19" t="s">
        <v>49</v>
      </c>
      <c r="L2" s="1">
        <v>0</v>
      </c>
      <c r="M2" s="1" t="s">
        <v>49</v>
      </c>
      <c r="N2" s="1">
        <v>0</v>
      </c>
      <c r="O2" s="1" t="s">
        <v>49</v>
      </c>
      <c r="P2" s="1">
        <v>0</v>
      </c>
      <c r="Q2" s="1" t="s">
        <v>49</v>
      </c>
      <c r="R2" s="1">
        <v>0</v>
      </c>
      <c r="S2" s="1" t="s">
        <v>49</v>
      </c>
      <c r="T2" s="1">
        <v>0</v>
      </c>
      <c r="U2" s="1" t="s">
        <v>49</v>
      </c>
    </row>
    <row r="3" spans="1:21" x14ac:dyDescent="0.4">
      <c r="A3">
        <f>(COUNTA(1:1)-5)/2</f>
        <v>8</v>
      </c>
      <c r="F3" s="15">
        <v>1</v>
      </c>
      <c r="G3" s="15" t="s">
        <v>50</v>
      </c>
      <c r="H3" s="15">
        <v>1</v>
      </c>
      <c r="I3" s="15" t="s">
        <v>39</v>
      </c>
      <c r="J3" s="15">
        <v>1</v>
      </c>
      <c r="K3" s="20" t="s">
        <v>39</v>
      </c>
      <c r="L3" s="1">
        <v>1</v>
      </c>
      <c r="M3" s="15" t="s">
        <v>51</v>
      </c>
      <c r="N3" s="16">
        <v>1</v>
      </c>
      <c r="O3" s="16" t="s">
        <v>52</v>
      </c>
      <c r="P3" s="1">
        <v>1</v>
      </c>
      <c r="Q3" s="1" t="s">
        <v>53</v>
      </c>
      <c r="R3" s="1">
        <v>1</v>
      </c>
      <c r="S3" s="17" t="s">
        <v>54</v>
      </c>
      <c r="T3" s="15">
        <v>1</v>
      </c>
      <c r="U3" s="15" t="s">
        <v>55</v>
      </c>
    </row>
    <row r="4" spans="1:21" x14ac:dyDescent="0.4">
      <c r="F4" s="1">
        <v>2</v>
      </c>
      <c r="G4" s="1" t="s">
        <v>56</v>
      </c>
      <c r="H4" s="1">
        <v>2</v>
      </c>
      <c r="I4" s="1" t="s">
        <v>38</v>
      </c>
      <c r="J4" s="1">
        <v>2</v>
      </c>
      <c r="K4" s="19" t="s">
        <v>38</v>
      </c>
      <c r="L4" s="1">
        <v>2</v>
      </c>
      <c r="M4" s="1" t="s">
        <v>57</v>
      </c>
      <c r="N4" s="1">
        <v>2</v>
      </c>
      <c r="O4" s="6" t="s">
        <v>58</v>
      </c>
      <c r="P4" s="1">
        <v>2</v>
      </c>
      <c r="Q4" s="1" t="s">
        <v>59</v>
      </c>
      <c r="R4" s="12"/>
      <c r="S4" s="11"/>
      <c r="T4" s="6">
        <v>2</v>
      </c>
      <c r="U4" s="6" t="s">
        <v>60</v>
      </c>
    </row>
    <row r="5" spans="1:21" x14ac:dyDescent="0.4">
      <c r="F5" s="1">
        <v>3</v>
      </c>
      <c r="G5" s="1" t="s">
        <v>61</v>
      </c>
      <c r="L5" s="1">
        <v>3</v>
      </c>
      <c r="M5" s="1" t="s">
        <v>62</v>
      </c>
      <c r="T5" s="1">
        <v>3</v>
      </c>
      <c r="U5" s="1" t="s">
        <v>63</v>
      </c>
    </row>
    <row r="6" spans="1:21" x14ac:dyDescent="0.4">
      <c r="F6" s="1">
        <v>4</v>
      </c>
      <c r="G6" s="1" t="s">
        <v>64</v>
      </c>
      <c r="L6" s="1">
        <v>4</v>
      </c>
      <c r="M6" s="1" t="s">
        <v>65</v>
      </c>
      <c r="T6" s="1">
        <v>4</v>
      </c>
      <c r="U6" s="1" t="s">
        <v>66</v>
      </c>
    </row>
    <row r="7" spans="1:21" x14ac:dyDescent="0.4">
      <c r="L7" s="1">
        <v>5</v>
      </c>
      <c r="M7" s="1" t="s">
        <v>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90C9-8150-4500-9360-9FB41E08E988}">
  <sheetPr codeName="Sheet4"/>
  <dimension ref="A1:BQ3"/>
  <sheetViews>
    <sheetView topLeftCell="D1" workbookViewId="0">
      <selection activeCell="O8" sqref="O8"/>
    </sheetView>
  </sheetViews>
  <sheetFormatPr defaultRowHeight="18.75" x14ac:dyDescent="0.4"/>
  <cols>
    <col min="1" max="2" width="11" bestFit="1" customWidth="1"/>
    <col min="4" max="4" width="19.25" bestFit="1" customWidth="1"/>
    <col min="5" max="5" width="12.25" bestFit="1" customWidth="1"/>
    <col min="6" max="6" width="11.375" bestFit="1" customWidth="1"/>
    <col min="7" max="7" width="12.375" bestFit="1" customWidth="1"/>
    <col min="8" max="8" width="5.25" bestFit="1" customWidth="1"/>
    <col min="10" max="10" width="11" bestFit="1" customWidth="1"/>
    <col min="11" max="12" width="10.375" bestFit="1" customWidth="1"/>
    <col min="14" max="15" width="11" bestFit="1" customWidth="1"/>
    <col min="16" max="17" width="13.375" customWidth="1"/>
    <col min="18" max="21" width="10.375" bestFit="1" customWidth="1"/>
    <col min="24" max="24" width="7.125" bestFit="1" customWidth="1"/>
    <col min="25" max="25" width="11" bestFit="1" customWidth="1"/>
    <col min="26" max="26" width="11.125" bestFit="1" customWidth="1"/>
    <col min="27" max="28" width="11" bestFit="1" customWidth="1"/>
    <col min="29" max="29" width="11.125" bestFit="1" customWidth="1"/>
    <col min="30" max="31" width="11" bestFit="1" customWidth="1"/>
    <col min="32" max="32" width="10.625" bestFit="1" customWidth="1"/>
    <col min="33" max="34" width="10.875" bestFit="1" customWidth="1"/>
    <col min="35" max="35" width="10.5" bestFit="1" customWidth="1"/>
    <col min="36" max="36" width="10.625" bestFit="1" customWidth="1"/>
    <col min="39" max="39" width="13" bestFit="1" customWidth="1"/>
    <col min="40" max="41" width="10.375" bestFit="1" customWidth="1"/>
    <col min="42" max="42" width="13.625" bestFit="1" customWidth="1"/>
    <col min="43" max="44" width="10.375" bestFit="1" customWidth="1"/>
    <col min="46" max="47" width="13.375" customWidth="1"/>
    <col min="48" max="51" width="10.375" bestFit="1" customWidth="1"/>
    <col min="54" max="54" width="7.125" bestFit="1" customWidth="1"/>
    <col min="55" max="55" width="11" bestFit="1" customWidth="1"/>
    <col min="56" max="56" width="11.125" bestFit="1" customWidth="1"/>
    <col min="57" max="58" width="11" bestFit="1" customWidth="1"/>
    <col min="59" max="59" width="11.125" bestFit="1" customWidth="1"/>
    <col min="60" max="61" width="11" bestFit="1" customWidth="1"/>
    <col min="62" max="62" width="10.625" bestFit="1" customWidth="1"/>
    <col min="63" max="64" width="10.875" bestFit="1" customWidth="1"/>
    <col min="65" max="65" width="10.5" bestFit="1" customWidth="1"/>
    <col min="66" max="66" width="10.625" bestFit="1" customWidth="1"/>
    <col min="69" max="69" width="13" bestFit="1" customWidth="1"/>
  </cols>
  <sheetData>
    <row r="1" spans="1:69" x14ac:dyDescent="0.4">
      <c r="A1" s="41" t="s">
        <v>41</v>
      </c>
      <c r="B1" s="40" t="s">
        <v>0</v>
      </c>
      <c r="C1" s="37" t="s">
        <v>1</v>
      </c>
      <c r="D1" s="37" t="s">
        <v>2</v>
      </c>
      <c r="E1" s="37" t="s">
        <v>3</v>
      </c>
      <c r="F1" s="37"/>
      <c r="G1" s="37"/>
      <c r="H1" s="37" t="s">
        <v>4</v>
      </c>
      <c r="I1" s="37" t="s">
        <v>5</v>
      </c>
      <c r="J1" s="37" t="s">
        <v>6</v>
      </c>
      <c r="K1" s="37" t="s">
        <v>7</v>
      </c>
      <c r="L1" s="37"/>
      <c r="M1" s="37" t="s">
        <v>8</v>
      </c>
      <c r="N1" s="37" t="s">
        <v>9</v>
      </c>
      <c r="O1" s="37" t="s">
        <v>10</v>
      </c>
      <c r="P1" s="28" t="s">
        <v>93</v>
      </c>
      <c r="Q1" s="28" t="s">
        <v>94</v>
      </c>
      <c r="R1" s="28" t="s">
        <v>11</v>
      </c>
      <c r="S1" s="28"/>
      <c r="T1" s="28" t="s">
        <v>7</v>
      </c>
      <c r="U1" s="28"/>
      <c r="V1" s="28" t="s">
        <v>12</v>
      </c>
      <c r="W1" s="28" t="s">
        <v>13</v>
      </c>
      <c r="X1" s="28" t="s">
        <v>14</v>
      </c>
      <c r="Y1" s="28" t="s">
        <v>15</v>
      </c>
      <c r="Z1" s="28"/>
      <c r="AA1" s="28"/>
      <c r="AB1" s="28" t="s">
        <v>16</v>
      </c>
      <c r="AC1" s="28"/>
      <c r="AD1" s="28"/>
      <c r="AE1" s="28" t="s">
        <v>17</v>
      </c>
      <c r="AF1" s="28"/>
      <c r="AG1" s="28"/>
      <c r="AH1" s="28" t="s">
        <v>18</v>
      </c>
      <c r="AI1" s="28"/>
      <c r="AJ1" s="28"/>
      <c r="AK1" s="28" t="s">
        <v>19</v>
      </c>
      <c r="AL1" s="28" t="s">
        <v>20</v>
      </c>
      <c r="AM1" s="28" t="s">
        <v>21</v>
      </c>
      <c r="AN1" s="29" t="s">
        <v>22</v>
      </c>
      <c r="AO1" s="29"/>
      <c r="AP1" s="29"/>
      <c r="AQ1" s="29" t="s">
        <v>23</v>
      </c>
      <c r="AR1" s="29"/>
      <c r="AS1" s="29" t="s">
        <v>24</v>
      </c>
      <c r="AT1" s="28" t="s">
        <v>91</v>
      </c>
      <c r="AU1" s="28" t="s">
        <v>92</v>
      </c>
      <c r="AV1" s="28" t="s">
        <v>11</v>
      </c>
      <c r="AW1" s="28"/>
      <c r="AX1" s="28" t="s">
        <v>7</v>
      </c>
      <c r="AY1" s="28"/>
      <c r="AZ1" s="28" t="s">
        <v>12</v>
      </c>
      <c r="BA1" s="28" t="s">
        <v>13</v>
      </c>
      <c r="BB1" s="28" t="s">
        <v>14</v>
      </c>
      <c r="BC1" s="28" t="s">
        <v>15</v>
      </c>
      <c r="BD1" s="28"/>
      <c r="BE1" s="28"/>
      <c r="BF1" s="28" t="s">
        <v>16</v>
      </c>
      <c r="BG1" s="28"/>
      <c r="BH1" s="28"/>
      <c r="BI1" s="28" t="s">
        <v>17</v>
      </c>
      <c r="BJ1" s="28"/>
      <c r="BK1" s="28"/>
      <c r="BL1" s="28" t="s">
        <v>18</v>
      </c>
      <c r="BM1" s="28"/>
      <c r="BN1" s="28"/>
      <c r="BO1" s="28" t="s">
        <v>19</v>
      </c>
      <c r="BP1" s="28" t="s">
        <v>20</v>
      </c>
      <c r="BQ1" s="28" t="s">
        <v>21</v>
      </c>
    </row>
    <row r="2" spans="1:69" x14ac:dyDescent="0.4">
      <c r="A2" s="42"/>
      <c r="B2" s="40"/>
      <c r="C2" s="37"/>
      <c r="D2" s="37"/>
      <c r="E2" s="2" t="s">
        <v>25</v>
      </c>
      <c r="F2" s="2" t="s">
        <v>26</v>
      </c>
      <c r="G2" s="2" t="s">
        <v>27</v>
      </c>
      <c r="H2" s="37"/>
      <c r="I2" s="37"/>
      <c r="J2" s="37"/>
      <c r="K2" s="14" t="s">
        <v>28</v>
      </c>
      <c r="L2" s="14" t="s">
        <v>29</v>
      </c>
      <c r="M2" s="37"/>
      <c r="N2" s="37"/>
      <c r="O2" s="37"/>
      <c r="P2" s="28"/>
      <c r="Q2" s="28"/>
      <c r="R2" s="5" t="s">
        <v>28</v>
      </c>
      <c r="S2" s="5" t="s">
        <v>29</v>
      </c>
      <c r="T2" s="3" t="s">
        <v>28</v>
      </c>
      <c r="U2" s="3" t="s">
        <v>29</v>
      </c>
      <c r="V2" s="28"/>
      <c r="W2" s="28"/>
      <c r="X2" s="28"/>
      <c r="Y2" s="5" t="s">
        <v>30</v>
      </c>
      <c r="Z2" s="5" t="s">
        <v>31</v>
      </c>
      <c r="AA2" s="5" t="s">
        <v>32</v>
      </c>
      <c r="AB2" s="3" t="s">
        <v>30</v>
      </c>
      <c r="AC2" s="3" t="s">
        <v>31</v>
      </c>
      <c r="AD2" s="3" t="s">
        <v>32</v>
      </c>
      <c r="AE2" s="3" t="s">
        <v>33</v>
      </c>
      <c r="AF2" s="3" t="s">
        <v>34</v>
      </c>
      <c r="AG2" s="3" t="s">
        <v>35</v>
      </c>
      <c r="AH2" s="3" t="s">
        <v>33</v>
      </c>
      <c r="AI2" s="3" t="s">
        <v>34</v>
      </c>
      <c r="AJ2" s="3" t="s">
        <v>35</v>
      </c>
      <c r="AK2" s="28"/>
      <c r="AL2" s="28"/>
      <c r="AM2" s="28"/>
      <c r="AN2" s="4" t="s">
        <v>28</v>
      </c>
      <c r="AO2" s="4" t="s">
        <v>29</v>
      </c>
      <c r="AP2" s="4" t="s">
        <v>36</v>
      </c>
      <c r="AQ2" s="4" t="s">
        <v>28</v>
      </c>
      <c r="AR2" s="4" t="s">
        <v>29</v>
      </c>
      <c r="AS2" s="29"/>
      <c r="AT2" s="28"/>
      <c r="AU2" s="28"/>
      <c r="AV2" s="22" t="s">
        <v>28</v>
      </c>
      <c r="AW2" s="22" t="s">
        <v>29</v>
      </c>
      <c r="AX2" s="3" t="s">
        <v>28</v>
      </c>
      <c r="AY2" s="3" t="s">
        <v>29</v>
      </c>
      <c r="AZ2" s="28"/>
      <c r="BA2" s="28"/>
      <c r="BB2" s="28"/>
      <c r="BC2" s="22" t="s">
        <v>30</v>
      </c>
      <c r="BD2" s="22" t="s">
        <v>31</v>
      </c>
      <c r="BE2" s="22" t="s">
        <v>32</v>
      </c>
      <c r="BF2" s="3" t="s">
        <v>30</v>
      </c>
      <c r="BG2" s="3" t="s">
        <v>31</v>
      </c>
      <c r="BH2" s="3" t="s">
        <v>32</v>
      </c>
      <c r="BI2" s="3" t="s">
        <v>33</v>
      </c>
      <c r="BJ2" s="3" t="s">
        <v>34</v>
      </c>
      <c r="BK2" s="3" t="s">
        <v>35</v>
      </c>
      <c r="BL2" s="3" t="s">
        <v>33</v>
      </c>
      <c r="BM2" s="3" t="s">
        <v>34</v>
      </c>
      <c r="BN2" s="3" t="s">
        <v>35</v>
      </c>
      <c r="BO2" s="28"/>
      <c r="BP2" s="28"/>
      <c r="BQ2" s="28"/>
    </row>
    <row r="3" spans="1:69" x14ac:dyDescent="0.4">
      <c r="A3" s="13" t="s">
        <v>68</v>
      </c>
      <c r="B3" s="1">
        <v>0</v>
      </c>
      <c r="C3" s="1">
        <v>1</v>
      </c>
      <c r="D3" s="1">
        <v>2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3</v>
      </c>
      <c r="N3" s="1">
        <v>0</v>
      </c>
      <c r="O3" s="1">
        <v>0</v>
      </c>
      <c r="P3" s="1">
        <v>4</v>
      </c>
      <c r="Q3" s="1">
        <v>4</v>
      </c>
      <c r="R3" s="1">
        <v>5</v>
      </c>
      <c r="S3" s="1">
        <v>5</v>
      </c>
      <c r="T3" s="1">
        <v>0</v>
      </c>
      <c r="U3" s="1">
        <v>0</v>
      </c>
      <c r="V3" s="1">
        <v>5</v>
      </c>
      <c r="W3" s="1">
        <v>0</v>
      </c>
      <c r="X3" s="1">
        <v>8</v>
      </c>
      <c r="Y3" s="1">
        <v>5</v>
      </c>
      <c r="Z3" s="1">
        <v>5</v>
      </c>
      <c r="AA3" s="1">
        <v>5</v>
      </c>
      <c r="AB3" s="1">
        <v>0</v>
      </c>
      <c r="AC3" s="1">
        <v>0</v>
      </c>
      <c r="AD3" s="1">
        <v>0</v>
      </c>
      <c r="AE3" s="1">
        <v>5</v>
      </c>
      <c r="AF3" s="1">
        <v>5</v>
      </c>
      <c r="AG3" s="1">
        <v>5</v>
      </c>
      <c r="AH3" s="1">
        <v>0</v>
      </c>
      <c r="AI3" s="1">
        <v>0</v>
      </c>
      <c r="AJ3" s="1">
        <v>0</v>
      </c>
      <c r="AK3" s="1">
        <v>5</v>
      </c>
      <c r="AL3" s="1">
        <v>0</v>
      </c>
      <c r="AM3" s="1">
        <v>6</v>
      </c>
      <c r="AN3" s="1">
        <v>7</v>
      </c>
      <c r="AO3" s="1">
        <v>7</v>
      </c>
      <c r="AP3" s="1">
        <v>7</v>
      </c>
      <c r="AQ3" s="1">
        <v>0</v>
      </c>
      <c r="AR3" s="1">
        <v>0</v>
      </c>
      <c r="AS3" s="1">
        <v>0</v>
      </c>
      <c r="AT3" s="1">
        <v>4</v>
      </c>
      <c r="AU3" s="1">
        <v>4</v>
      </c>
      <c r="AV3" s="1">
        <v>5</v>
      </c>
      <c r="AW3" s="1">
        <v>5</v>
      </c>
      <c r="AX3" s="1">
        <v>0</v>
      </c>
      <c r="AY3" s="1">
        <v>0</v>
      </c>
      <c r="AZ3" s="1">
        <v>5</v>
      </c>
      <c r="BA3" s="1">
        <v>0</v>
      </c>
      <c r="BB3" s="1">
        <v>8</v>
      </c>
      <c r="BC3" s="1">
        <v>5</v>
      </c>
      <c r="BD3" s="1">
        <v>5</v>
      </c>
      <c r="BE3" s="1">
        <v>5</v>
      </c>
      <c r="BF3" s="1">
        <v>0</v>
      </c>
      <c r="BG3" s="1">
        <v>0</v>
      </c>
      <c r="BH3" s="1">
        <v>0</v>
      </c>
      <c r="BI3" s="1">
        <v>5</v>
      </c>
      <c r="BJ3" s="1">
        <v>5</v>
      </c>
      <c r="BK3" s="1">
        <v>5</v>
      </c>
      <c r="BL3" s="1">
        <v>0</v>
      </c>
      <c r="BM3" s="1">
        <v>0</v>
      </c>
      <c r="BN3" s="1">
        <v>0</v>
      </c>
      <c r="BO3" s="1">
        <v>5</v>
      </c>
      <c r="BP3" s="1">
        <v>0</v>
      </c>
      <c r="BQ3" s="1">
        <v>6</v>
      </c>
    </row>
  </sheetData>
  <mergeCells count="43">
    <mergeCell ref="BL1:BN1"/>
    <mergeCell ref="BO1:BO2"/>
    <mergeCell ref="BP1:BP2"/>
    <mergeCell ref="BQ1:BQ2"/>
    <mergeCell ref="BA1:BA2"/>
    <mergeCell ref="BB1:BB2"/>
    <mergeCell ref="BC1:BE1"/>
    <mergeCell ref="BF1:BH1"/>
    <mergeCell ref="BI1:BK1"/>
    <mergeCell ref="AT1:AT2"/>
    <mergeCell ref="AU1:AU2"/>
    <mergeCell ref="AV1:AW1"/>
    <mergeCell ref="AX1:AY1"/>
    <mergeCell ref="AZ1:AZ2"/>
    <mergeCell ref="AM1:AM2"/>
    <mergeCell ref="AN1:AP1"/>
    <mergeCell ref="AQ1:AR1"/>
    <mergeCell ref="AS1:AS2"/>
    <mergeCell ref="A1:A2"/>
    <mergeCell ref="Y1:AA1"/>
    <mergeCell ref="AB1:AD1"/>
    <mergeCell ref="AE1:AG1"/>
    <mergeCell ref="AH1:AJ1"/>
    <mergeCell ref="AK1:AK2"/>
    <mergeCell ref="AL1:AL2"/>
    <mergeCell ref="Q1:Q2"/>
    <mergeCell ref="R1:S1"/>
    <mergeCell ref="T1:U1"/>
    <mergeCell ref="V1:V2"/>
    <mergeCell ref="W1:W2"/>
    <mergeCell ref="X1:X2"/>
    <mergeCell ref="J1:J2"/>
    <mergeCell ref="K1:L1"/>
    <mergeCell ref="M1:M2"/>
    <mergeCell ref="N1:N2"/>
    <mergeCell ref="O1:O2"/>
    <mergeCell ref="P1:P2"/>
    <mergeCell ref="I1:I2"/>
    <mergeCell ref="B1:B2"/>
    <mergeCell ref="C1:C2"/>
    <mergeCell ref="D1:D2"/>
    <mergeCell ref="E1:G1"/>
    <mergeCell ref="H1:H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EC46F-B3FC-4BD5-BEE7-DC602848387B}">
  <sheetPr codeName="Sheet3"/>
  <dimension ref="A1:BP2"/>
  <sheetViews>
    <sheetView topLeftCell="P1" workbookViewId="0">
      <selection activeCell="BJ15" sqref="BJ15"/>
    </sheetView>
  </sheetViews>
  <sheetFormatPr defaultRowHeight="18.75" x14ac:dyDescent="0.4"/>
  <sheetData>
    <row r="1" spans="1:68" x14ac:dyDescent="0.4">
      <c r="A1"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</row>
    <row r="2" spans="1:68" x14ac:dyDescent="0.4">
      <c r="A2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D67458DB7CE0B4F872090C22CE3A4C3" ma:contentTypeVersion="5" ma:contentTypeDescription="新しいドキュメントを作成します。" ma:contentTypeScope="" ma:versionID="10c2ebe708bedffe58c783eaf4532b7e">
  <xsd:schema xmlns:xsd="http://www.w3.org/2001/XMLSchema" xmlns:xs="http://www.w3.org/2001/XMLSchema" xmlns:p="http://schemas.microsoft.com/office/2006/metadata/properties" xmlns:ns3="16222666-65b7-4e2e-a44b-24300e881966" xmlns:ns4="c9263ba2-33ea-4bee-bce9-a88e875f692d" targetNamespace="http://schemas.microsoft.com/office/2006/metadata/properties" ma:root="true" ma:fieldsID="01198541f9121fb71a6655d69f98b698" ns3:_="" ns4:_="">
    <xsd:import namespace="16222666-65b7-4e2e-a44b-24300e881966"/>
    <xsd:import namespace="c9263ba2-33ea-4bee-bce9-a88e875f692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222666-65b7-4e2e-a44b-24300e8819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63ba2-33ea-4bee-bce9-a88e875f692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0481A1-7986-4577-A30F-18544C3FB2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40E346-D7DC-4297-800B-66AE78DB95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222666-65b7-4e2e-a44b-24300e881966"/>
    <ds:schemaRef ds:uri="c9263ba2-33ea-4bee-bce9-a88e875f69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2F9A09-9115-43BF-B187-2A4DCD15A69B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c9263ba2-33ea-4bee-bce9-a88e875f692d"/>
    <ds:schemaRef ds:uri="16222666-65b7-4e2e-a44b-24300e881966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シーン入力の手引き</vt:lpstr>
      <vt:lpstr>シーン情報入力用シート</vt:lpstr>
      <vt:lpstr>データシート</vt:lpstr>
      <vt:lpstr>入力内容シート</vt:lpstr>
      <vt:lpstr>CSVファイル出力用シート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廣兼聖太</dc:creator>
  <cp:keywords/>
  <dc:description/>
  <cp:lastModifiedBy>OHS19 廣兼聖太</cp:lastModifiedBy>
  <cp:revision/>
  <dcterms:created xsi:type="dcterms:W3CDTF">2022-07-29T06:54:15Z</dcterms:created>
  <dcterms:modified xsi:type="dcterms:W3CDTF">2022-08-02T04:51:09Z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0x0101006D67458DB7CE0B4F872090C22CE3A4C3</vt:lpwstr>
  </property>
</Properties>
</file>